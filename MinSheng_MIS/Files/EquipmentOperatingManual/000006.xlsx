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T:\[專案資料]\202304_和順安居\"/>
    </mc:Choice>
  </mc:AlternateContent>
  <xr:revisionPtr revIDLastSave="0" documentId="13_ncr:1_{D00E180E-D287-46BD-895C-3D088381674F}" xr6:coauthVersionLast="47" xr6:coauthVersionMax="47" xr10:uidLastSave="{00000000-0000-0000-0000-000000000000}"/>
  <bookViews>
    <workbookView xWindow="28680" yWindow="-1470" windowWidth="29040" windowHeight="15840" tabRatio="786" xr2:uid="{00000000-000D-0000-FFFF-FFFF00000000}"/>
  </bookViews>
  <sheets>
    <sheet name="工作表1" sheetId="10" r:id="rId1"/>
    <sheet name="1_本案應揭露之碳足跡數據與碳足跡組成圖" sheetId="1" r:id="rId2"/>
    <sheet name="2_主結構碳排密度計算參數" sheetId="2" r:id="rId3"/>
    <sheet name="3_非主結構碳足跡(施工&amp;廢棄&amp;修繕)" sheetId="7" r:id="rId4"/>
    <sheet name="4_生命週期四階段蘊含碳排" sheetId="5" r:id="rId5"/>
    <sheet name="5_各項減碳設計ΔCF貢獻度分析" sheetId="6" r:id="rId6"/>
    <sheet name="報告書圖表" sheetId="9" r:id="rId7"/>
  </sheets>
  <definedNames>
    <definedName name="_Hlk107062451" localSheetId="3">'3_非主結構碳足跡(施工&amp;廢棄&amp;修繕)'!$R$31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7" i="7" l="1"/>
  <c r="Q90" i="7"/>
  <c r="Q56" i="7"/>
  <c r="Q14" i="7"/>
  <c r="D4" i="9"/>
  <c r="G6" i="6"/>
  <c r="O70" i="7"/>
  <c r="O9" i="7"/>
  <c r="G6" i="2"/>
  <c r="G5" i="2"/>
  <c r="G4" i="2"/>
  <c r="G3" i="2"/>
  <c r="V10" i="7" l="1"/>
  <c r="V9" i="7"/>
  <c r="V8" i="7"/>
  <c r="V11" i="7" s="1"/>
  <c r="F13" i="9" l="1"/>
  <c r="F16" i="9"/>
  <c r="L40" i="7"/>
  <c r="D3" i="9"/>
  <c r="D13" i="9" l="1"/>
  <c r="H2" i="6" l="1"/>
  <c r="D10" i="1"/>
  <c r="N84" i="7"/>
  <c r="N83" i="7"/>
  <c r="O62" i="7"/>
  <c r="O90" i="7"/>
  <c r="M90" i="7"/>
  <c r="M86" i="7"/>
  <c r="N86" i="7" s="1"/>
  <c r="M85" i="7"/>
  <c r="N85" i="7" s="1"/>
  <c r="O84" i="7"/>
  <c r="M84" i="7"/>
  <c r="O83" i="7"/>
  <c r="M83" i="7"/>
  <c r="O76" i="7"/>
  <c r="M76" i="7"/>
  <c r="M70" i="7"/>
  <c r="O50" i="7"/>
  <c r="P50" i="7" s="1"/>
  <c r="P52" i="7" s="1"/>
  <c r="O8" i="7"/>
  <c r="P8" i="7" s="1"/>
  <c r="O51" i="7"/>
  <c r="P51" i="7" s="1"/>
  <c r="P71" i="7"/>
  <c r="P72" i="7"/>
  <c r="P39" i="7"/>
  <c r="P38" i="7"/>
  <c r="P29" i="7"/>
  <c r="P30" i="7"/>
  <c r="P31" i="7"/>
  <c r="P28" i="7"/>
  <c r="P22" i="7"/>
  <c r="P23" i="7"/>
  <c r="P24" i="7"/>
  <c r="P21" i="7"/>
  <c r="P9" i="7" l="1"/>
  <c r="K5" i="5" l="1"/>
  <c r="H8" i="2"/>
  <c r="V21" i="7"/>
  <c r="V22" i="7"/>
  <c r="V20" i="7"/>
  <c r="V23" i="7" l="1"/>
  <c r="P85" i="7"/>
  <c r="P86" i="7"/>
  <c r="L87" i="7"/>
  <c r="L90" i="7" s="1"/>
  <c r="P84" i="7"/>
  <c r="N70" i="7"/>
  <c r="L73" i="7"/>
  <c r="L76" i="7" s="1"/>
  <c r="P76" i="7" s="1"/>
  <c r="L63" i="7"/>
  <c r="P70" i="7"/>
  <c r="N71" i="7"/>
  <c r="P83" i="7"/>
  <c r="N72" i="7"/>
  <c r="N62" i="7"/>
  <c r="N63" i="7" s="1"/>
  <c r="N52" i="7"/>
  <c r="D13" i="7" s="1"/>
  <c r="L52" i="7"/>
  <c r="L55" i="7" s="1"/>
  <c r="N39" i="7"/>
  <c r="N38" i="7"/>
  <c r="N40" i="7" s="1"/>
  <c r="L43" i="7"/>
  <c r="P43" i="7" s="1"/>
  <c r="P44" i="7" s="1"/>
  <c r="N29" i="7"/>
  <c r="N30" i="7"/>
  <c r="N31" i="7"/>
  <c r="N28" i="7"/>
  <c r="N22" i="7"/>
  <c r="N23" i="7"/>
  <c r="N24" i="7"/>
  <c r="N21" i="7"/>
  <c r="L25" i="7"/>
  <c r="L32" i="7"/>
  <c r="N9" i="7"/>
  <c r="N8" i="7"/>
  <c r="L11" i="7"/>
  <c r="L14" i="7" s="1"/>
  <c r="G13" i="5"/>
  <c r="G16" i="2"/>
  <c r="G18" i="2"/>
  <c r="G17" i="2"/>
  <c r="L31" i="2"/>
  <c r="J31" i="2"/>
  <c r="L30" i="2"/>
  <c r="G28" i="2" l="1"/>
  <c r="N25" i="7"/>
  <c r="D24" i="1"/>
  <c r="C7" i="9"/>
  <c r="C17" i="9" s="1"/>
  <c r="F37" i="7"/>
  <c r="P90" i="7"/>
  <c r="P14" i="7"/>
  <c r="P15" i="7" s="1"/>
  <c r="E20" i="7" s="1"/>
  <c r="F14" i="9" s="1"/>
  <c r="L56" i="7"/>
  <c r="P55" i="7"/>
  <c r="P62" i="7"/>
  <c r="P63" i="7" s="1"/>
  <c r="D14" i="7"/>
  <c r="D24" i="7"/>
  <c r="E18" i="9" s="1"/>
  <c r="L77" i="7"/>
  <c r="N76" i="7"/>
  <c r="P77" i="7"/>
  <c r="E25" i="7" s="1"/>
  <c r="F19" i="9" s="1"/>
  <c r="G45" i="7"/>
  <c r="F45" i="7"/>
  <c r="G19" i="2"/>
  <c r="F42" i="7"/>
  <c r="G42" i="7"/>
  <c r="G44" i="7"/>
  <c r="F44" i="7"/>
  <c r="H23" i="2"/>
  <c r="F5" i="5" s="1"/>
  <c r="P87" i="7"/>
  <c r="E16" i="7" s="1"/>
  <c r="D10" i="9" s="1"/>
  <c r="N90" i="7"/>
  <c r="N91" i="7" s="1"/>
  <c r="D26" i="7" s="1"/>
  <c r="E20" i="9" s="1"/>
  <c r="L91" i="7"/>
  <c r="P73" i="7"/>
  <c r="N73" i="7"/>
  <c r="D15" i="7" s="1"/>
  <c r="E13" i="7"/>
  <c r="D7" i="9" s="1"/>
  <c r="D17" i="9" s="1"/>
  <c r="N11" i="7"/>
  <c r="D10" i="7" s="1"/>
  <c r="P25" i="7"/>
  <c r="E11" i="7" s="1"/>
  <c r="D5" i="9" s="1"/>
  <c r="L15" i="7"/>
  <c r="N32" i="7"/>
  <c r="D21" i="7" s="1"/>
  <c r="E15" i="9" s="1"/>
  <c r="P32" i="7"/>
  <c r="E21" i="7" s="1"/>
  <c r="F15" i="9" s="1"/>
  <c r="D11" i="7"/>
  <c r="C5" i="9" s="1"/>
  <c r="D12" i="7"/>
  <c r="N55" i="7"/>
  <c r="N56" i="7" s="1"/>
  <c r="D23" i="7" s="1"/>
  <c r="E17" i="9" s="1"/>
  <c r="P40" i="7"/>
  <c r="E12" i="7" s="1"/>
  <c r="D6" i="9" s="1"/>
  <c r="D16" i="9" s="1"/>
  <c r="N43" i="7"/>
  <c r="L44" i="7"/>
  <c r="P11" i="7"/>
  <c r="E10" i="7" s="1"/>
  <c r="N14" i="7"/>
  <c r="N15" i="7" s="1"/>
  <c r="D20" i="7" s="1"/>
  <c r="E14" i="9" s="1"/>
  <c r="G23" i="2"/>
  <c r="D5" i="5" s="1"/>
  <c r="G15" i="2"/>
  <c r="D25" i="1" l="1"/>
  <c r="C8" i="9"/>
  <c r="C15" i="9"/>
  <c r="E5" i="9"/>
  <c r="D20" i="9"/>
  <c r="D21" i="1"/>
  <c r="C4" i="9"/>
  <c r="P56" i="7"/>
  <c r="E23" i="7" s="1"/>
  <c r="D15" i="9"/>
  <c r="F5" i="9"/>
  <c r="D14" i="9"/>
  <c r="C9" i="9"/>
  <c r="G17" i="9"/>
  <c r="N44" i="7"/>
  <c r="D23" i="1"/>
  <c r="C6" i="9"/>
  <c r="C16" i="9" s="1"/>
  <c r="G16" i="9" s="1"/>
  <c r="F13" i="7"/>
  <c r="D6" i="5"/>
  <c r="G37" i="7"/>
  <c r="F6" i="5" s="1"/>
  <c r="D26" i="1"/>
  <c r="D17" i="7"/>
  <c r="E14" i="7"/>
  <c r="E24" i="7"/>
  <c r="F18" i="9" s="1"/>
  <c r="N77" i="7"/>
  <c r="D25" i="7" s="1"/>
  <c r="E19" i="9" s="1"/>
  <c r="F20" i="7"/>
  <c r="N87" i="7"/>
  <c r="D16" i="7" s="1"/>
  <c r="F21" i="7"/>
  <c r="F24" i="7"/>
  <c r="F11" i="7"/>
  <c r="D22" i="1"/>
  <c r="F43" i="7"/>
  <c r="D7" i="5" s="1"/>
  <c r="E15" i="7"/>
  <c r="D9" i="9" s="1"/>
  <c r="F10" i="7"/>
  <c r="F12" i="7"/>
  <c r="P91" i="7"/>
  <c r="E26" i="7" s="1"/>
  <c r="F20" i="9" s="1"/>
  <c r="F17" i="9" l="1"/>
  <c r="F23" i="7"/>
  <c r="D19" i="9"/>
  <c r="F9" i="9"/>
  <c r="D27" i="1"/>
  <c r="C10" i="9"/>
  <c r="F15" i="7"/>
  <c r="E9" i="9"/>
  <c r="C19" i="9"/>
  <c r="G19" i="9" s="1"/>
  <c r="G15" i="9"/>
  <c r="C14" i="9"/>
  <c r="G14" i="9" s="1"/>
  <c r="E4" i="9"/>
  <c r="D22" i="7"/>
  <c r="E16" i="9" s="1"/>
  <c r="F14" i="7"/>
  <c r="D8" i="9"/>
  <c r="F4" i="9"/>
  <c r="E8" i="9"/>
  <c r="C18" i="9"/>
  <c r="D8" i="5"/>
  <c r="E6" i="9"/>
  <c r="F6" i="9"/>
  <c r="E53" i="7"/>
  <c r="E7" i="9"/>
  <c r="F7" i="9"/>
  <c r="E17" i="7"/>
  <c r="D16" i="1" s="1"/>
  <c r="F25" i="7"/>
  <c r="D27" i="7"/>
  <c r="H14" i="7"/>
  <c r="H10" i="7"/>
  <c r="E27" i="7"/>
  <c r="F10" i="5" s="1"/>
  <c r="E51" i="7"/>
  <c r="E29" i="5"/>
  <c r="H11" i="7"/>
  <c r="F26" i="7"/>
  <c r="F16" i="7"/>
  <c r="H13" i="7"/>
  <c r="E31" i="5"/>
  <c r="G9" i="6"/>
  <c r="E28" i="5"/>
  <c r="G10" i="6" s="1"/>
  <c r="E50" i="7"/>
  <c r="G18" i="9" l="1"/>
  <c r="E10" i="9"/>
  <c r="C20" i="9"/>
  <c r="G20" i="9" s="1"/>
  <c r="F10" i="9"/>
  <c r="E54" i="7"/>
  <c r="D18" i="9"/>
  <c r="F8" i="9"/>
  <c r="F22" i="7"/>
  <c r="E32" i="5"/>
  <c r="H15" i="7"/>
  <c r="F17" i="7"/>
  <c r="H16" i="7"/>
  <c r="E33" i="5"/>
  <c r="E55" i="7"/>
  <c r="G11" i="6"/>
  <c r="D10" i="5"/>
  <c r="H12" i="7" l="1"/>
  <c r="E30" i="5"/>
  <c r="E52" i="7"/>
  <c r="G17" i="7"/>
  <c r="H10" i="5"/>
  <c r="G43" i="7" l="1"/>
  <c r="F7" i="5" s="1"/>
  <c r="F8" i="5" s="1"/>
  <c r="G41" i="7"/>
  <c r="F41" i="7" l="1"/>
  <c r="H16" i="2"/>
  <c r="G27" i="2"/>
  <c r="G25" i="2" s="1"/>
  <c r="H15" i="2"/>
  <c r="H28" i="2" s="1"/>
  <c r="J23" i="2" l="1"/>
  <c r="J22" i="2"/>
  <c r="G22" i="2"/>
  <c r="H27" i="2"/>
  <c r="H25" i="2" s="1"/>
  <c r="H22" i="2" s="1"/>
  <c r="I22" i="2" l="1"/>
  <c r="D20" i="1"/>
  <c r="D9" i="7"/>
  <c r="K22" i="2"/>
  <c r="K23" i="2"/>
  <c r="D19" i="7"/>
  <c r="E49" i="7"/>
  <c r="E57" i="7" s="1"/>
  <c r="L24" i="2"/>
  <c r="D30" i="7" l="1"/>
  <c r="F9" i="7"/>
  <c r="C3" i="9"/>
  <c r="F19" i="7"/>
  <c r="E13" i="9"/>
  <c r="E30" i="7"/>
  <c r="F9" i="5" s="1"/>
  <c r="D28" i="1"/>
  <c r="E20" i="1" s="1"/>
  <c r="M22" i="2"/>
  <c r="G7" i="6" s="1"/>
  <c r="M23" i="2"/>
  <c r="G8" i="6" s="1"/>
  <c r="G12" i="7" l="1"/>
  <c r="G11" i="7"/>
  <c r="G16" i="7"/>
  <c r="E27" i="5"/>
  <c r="E34" i="5" s="1"/>
  <c r="G9" i="7"/>
  <c r="G15" i="7"/>
  <c r="G10" i="7"/>
  <c r="G14" i="7"/>
  <c r="G13" i="7"/>
  <c r="D14" i="1"/>
  <c r="D9" i="5"/>
  <c r="F36" i="7"/>
  <c r="F40" i="7"/>
  <c r="E27" i="1"/>
  <c r="E25" i="1"/>
  <c r="E23" i="1"/>
  <c r="E26" i="1"/>
  <c r="E22" i="1"/>
  <c r="E21" i="1"/>
  <c r="E24" i="1"/>
  <c r="F27" i="7"/>
  <c r="E3" i="9"/>
  <c r="F3" i="9"/>
  <c r="C13" i="9"/>
  <c r="G13" i="9" s="1"/>
  <c r="G12" i="6"/>
  <c r="G24" i="7" l="1"/>
  <c r="G26" i="7"/>
  <c r="G25" i="7"/>
  <c r="G27" i="7"/>
  <c r="G20" i="7"/>
  <c r="G23" i="7"/>
  <c r="G21" i="7"/>
  <c r="G22" i="7"/>
  <c r="D12" i="5"/>
  <c r="D20" i="5" s="1"/>
  <c r="G40" i="7"/>
  <c r="F12" i="5" s="1"/>
  <c r="D17" i="1"/>
  <c r="D18" i="1" s="1"/>
  <c r="E16" i="1" s="1"/>
  <c r="G36" i="7"/>
  <c r="F11" i="5" s="1"/>
  <c r="D15" i="1"/>
  <c r="D11" i="5"/>
  <c r="C16" i="6"/>
  <c r="F17" i="6" s="1"/>
  <c r="D18" i="6" s="1"/>
  <c r="G13" i="6" s="1"/>
  <c r="G14" i="6" s="1"/>
  <c r="H9" i="5"/>
  <c r="G19" i="7"/>
  <c r="D13" i="5" l="1"/>
  <c r="E14" i="1"/>
  <c r="E10" i="5"/>
  <c r="D22" i="5"/>
  <c r="K22" i="5" s="1"/>
  <c r="L23" i="5" s="1"/>
  <c r="D15" i="5"/>
  <c r="D11" i="1" s="1"/>
  <c r="E2" i="6"/>
  <c r="H3" i="6" s="1"/>
  <c r="D21" i="5"/>
  <c r="F13" i="5"/>
  <c r="H13" i="5" s="1"/>
  <c r="F20" i="5"/>
  <c r="E17" i="1"/>
  <c r="E11" i="5"/>
  <c r="E9" i="5"/>
  <c r="E15" i="1"/>
  <c r="E12" i="5"/>
  <c r="E13" i="5" l="1"/>
  <c r="E3" i="6"/>
  <c r="F15" i="5"/>
  <c r="F22" i="5"/>
  <c r="F14" i="5" s="1"/>
  <c r="F21" i="5"/>
  <c r="D23" i="5"/>
  <c r="G12" i="1" s="1"/>
  <c r="D14" i="5"/>
  <c r="D12" i="1"/>
  <c r="G11" i="1"/>
  <c r="E58" i="7"/>
  <c r="E35" i="5"/>
  <c r="E18" i="1"/>
  <c r="I10" i="6" l="1"/>
  <c r="I9" i="6"/>
  <c r="I11" i="6"/>
  <c r="I6" i="6"/>
  <c r="I7" i="6"/>
  <c r="I8" i="6"/>
  <c r="I12" i="6"/>
  <c r="I14" i="6" s="1"/>
  <c r="L28" i="5"/>
  <c r="L26" i="5"/>
  <c r="L27" i="5"/>
  <c r="L24" i="5"/>
  <c r="L25" i="5"/>
  <c r="L29" i="5"/>
</calcChain>
</file>

<file path=xl/sharedStrings.xml><?xml version="1.0" encoding="utf-8"?>
<sst xmlns="http://schemas.openxmlformats.org/spreadsheetml/2006/main" count="612" uniqueCount="402">
  <si>
    <t>工程名稱</t>
  </si>
  <si>
    <t>申請單位名稱</t>
  </si>
  <si>
    <t>設計單位名稱</t>
  </si>
  <si>
    <t>施工單位名稱</t>
  </si>
  <si>
    <r>
      <t>地下樓層數</t>
    </r>
    <r>
      <rPr>
        <sz val="11"/>
        <color theme="1"/>
        <rFont val="Times New Roman"/>
        <family val="1"/>
      </rPr>
      <t>(</t>
    </r>
    <r>
      <rPr>
        <sz val="11"/>
        <color theme="1"/>
        <rFont val="新細明體"/>
        <family val="1"/>
        <charset val="136"/>
      </rPr>
      <t>層</t>
    </r>
    <r>
      <rPr>
        <sz val="11"/>
        <color theme="1"/>
        <rFont val="Times New Roman"/>
        <family val="1"/>
      </rPr>
      <t>)</t>
    </r>
  </si>
  <si>
    <t>地上樓地板面積</t>
  </si>
  <si>
    <r>
      <t>(m</t>
    </r>
    <r>
      <rPr>
        <vertAlign val="superscript"/>
        <sz val="11"/>
        <color theme="1"/>
        <rFont val="Times New Roman"/>
        <family val="1"/>
      </rPr>
      <t>2</t>
    </r>
    <r>
      <rPr>
        <sz val="11"/>
        <color theme="1"/>
        <rFont val="Times New Roman"/>
        <family val="1"/>
      </rPr>
      <t>)</t>
    </r>
  </si>
  <si>
    <r>
      <t>全生命週期蘊含碳排</t>
    </r>
    <r>
      <rPr>
        <sz val="11"/>
        <color theme="1"/>
        <rFont val="Times New Roman"/>
        <family val="1"/>
      </rPr>
      <t>TEC</t>
    </r>
  </si>
  <si>
    <r>
      <t>(kgCO</t>
    </r>
    <r>
      <rPr>
        <vertAlign val="subscript"/>
        <sz val="11"/>
        <color theme="1"/>
        <rFont val="Times New Roman"/>
        <family val="1"/>
      </rPr>
      <t>2</t>
    </r>
    <r>
      <rPr>
        <sz val="11"/>
        <color theme="1"/>
        <rFont val="Times New Roman"/>
        <family val="1"/>
      </rPr>
      <t>)</t>
    </r>
  </si>
  <si>
    <r>
      <t>評估範疇蘊含碳排</t>
    </r>
    <r>
      <rPr>
        <sz val="11"/>
        <color theme="1"/>
        <rFont val="Times New Roman"/>
        <family val="1"/>
      </rPr>
      <t>EEC</t>
    </r>
  </si>
  <si>
    <r>
      <t>蘊含碳排尺規指標</t>
    </r>
    <r>
      <rPr>
        <sz val="11"/>
        <color theme="1"/>
        <rFont val="Times New Roman"/>
        <family val="1"/>
      </rPr>
      <t>ECIs</t>
    </r>
  </si>
  <si>
    <r>
      <t>設計案蘊含碳排指標</t>
    </r>
    <r>
      <rPr>
        <sz val="11"/>
        <color theme="1"/>
        <rFont val="Times New Roman"/>
        <family val="1"/>
      </rPr>
      <t>ECI</t>
    </r>
  </si>
  <si>
    <t>生命週期階段</t>
  </si>
  <si>
    <r>
      <t>碳足跡</t>
    </r>
    <r>
      <rPr>
        <sz val="11"/>
        <color theme="1"/>
        <rFont val="Times New Roman"/>
        <family val="1"/>
      </rPr>
      <t>(kgCO</t>
    </r>
    <r>
      <rPr>
        <vertAlign val="subscript"/>
        <sz val="11"/>
        <color theme="1"/>
        <rFont val="Times New Roman"/>
        <family val="1"/>
      </rPr>
      <t>2</t>
    </r>
    <r>
      <rPr>
        <sz val="11"/>
        <color theme="1"/>
        <rFont val="Times New Roman"/>
        <family val="1"/>
      </rPr>
      <t>)</t>
    </r>
  </si>
  <si>
    <t>百分比</t>
  </si>
  <si>
    <t>資材製造運輸階段</t>
  </si>
  <si>
    <t>施工階段</t>
  </si>
  <si>
    <t>更新修繕階段</t>
  </si>
  <si>
    <t>拆除廢棄階段</t>
  </si>
  <si>
    <t>合計</t>
  </si>
  <si>
    <t>分項碳足跡</t>
  </si>
  <si>
    <t>分項工程</t>
  </si>
  <si>
    <t>主結構體工程</t>
  </si>
  <si>
    <t>外牆外裝工程</t>
  </si>
  <si>
    <t>外窗工程</t>
  </si>
  <si>
    <t>不透光帷幕牆工程</t>
  </si>
  <si>
    <t>屋頂防水隔熱工程</t>
  </si>
  <si>
    <t>內隔間工程</t>
  </si>
  <si>
    <t>室內地坪工程</t>
  </si>
  <si>
    <t>戶外地坪工程</t>
  </si>
  <si>
    <t xml:space="preserve">表1 </t>
    <phoneticPr fontId="9" type="noConversion"/>
  </si>
  <si>
    <t>合計</t>
    <phoneticPr fontId="9" type="noConversion"/>
  </si>
  <si>
    <t>○○工程顧問有限公司</t>
    <phoneticPr fontId="9" type="noConversion"/>
  </si>
  <si>
    <t>○○建築師事務所</t>
    <phoneticPr fontId="9" type="noConversion"/>
  </si>
  <si>
    <t>○○工程顧問</t>
    <phoneticPr fontId="9" type="noConversion"/>
  </si>
  <si>
    <t>類別</t>
  </si>
  <si>
    <t>參數名稱</t>
  </si>
  <si>
    <t>設計案</t>
  </si>
  <si>
    <t>基準案</t>
  </si>
  <si>
    <t>備註</t>
  </si>
  <si>
    <t>基本資料</t>
  </si>
  <si>
    <t>主結構碳排密度計算參數</t>
  </si>
  <si>
    <t>10.Br高爐水泥替代率</t>
    <phoneticPr fontId="19" type="noConversion"/>
  </si>
  <si>
    <t>11.CSER水泥強度效益倍數</t>
    <phoneticPr fontId="19" type="noConversion"/>
  </si>
  <si>
    <t>12.EBF舊建築再利用地上面積</t>
    <phoneticPr fontId="19" type="noConversion"/>
  </si>
  <si>
    <t>21.平面形狀不規則修正係數 f1</t>
    <phoneticPr fontId="19" type="noConversion"/>
  </si>
  <si>
    <t>22.平面長寬比修正係數 f2</t>
    <phoneticPr fontId="19" type="noConversion"/>
  </si>
  <si>
    <t>23.平面出挑修正係數 f3</t>
    <phoneticPr fontId="19" type="noConversion"/>
  </si>
  <si>
    <t>CFs=Cu*BC*HC*RN</t>
    <phoneticPr fontId="19" type="noConversion"/>
  </si>
  <si>
    <t>CFs'=330*AFb+45.5*(AFu+AFb)</t>
    <phoneticPr fontId="19" type="noConversion"/>
  </si>
  <si>
    <t>Cu=Afu*C*W</t>
    <phoneticPr fontId="19" type="noConversion"/>
  </si>
  <si>
    <t>C=(224+4.11*(S-10)+300*(I*SaD/Fu-0.192)+68.74*(Sp-1.0)+0.17*(D0-300)+0.13*(L-300)+1.05*(BH-3.5))*Rs*F</t>
    <phoneticPr fontId="19" type="noConversion"/>
  </si>
  <si>
    <t>Sp=(ax*Bx*+ay*By)/((Bx+By)</t>
    <phoneticPr fontId="19" type="noConversion"/>
  </si>
  <si>
    <t>Bx=</t>
    <phoneticPr fontId="19" type="noConversion"/>
  </si>
  <si>
    <t>ax=</t>
    <phoneticPr fontId="19" type="noConversion"/>
  </si>
  <si>
    <t>By=</t>
    <phoneticPr fontId="19" type="noConversion"/>
  </si>
  <si>
    <t>ay=</t>
    <phoneticPr fontId="19" type="noConversion"/>
  </si>
  <si>
    <t>少固定隔間之建築物：275
辦公、住宿、旅館、醫院(輕質)：300
社福機構等多隔間之建築物(磚牆/RC)：(350/375)</t>
    <phoneticPr fontId="9" type="noConversion"/>
  </si>
  <si>
    <t>地上層樓地板面積AFu(㎡)</t>
  </si>
  <si>
    <t>地上樓層數S(層)</t>
  </si>
  <si>
    <t>主地面層樓高BH(m)</t>
  </si>
  <si>
    <t>基準案：
25F以下: 1.0(RC結構)
26F以上: 0.8(S結構)</t>
    <phoneticPr fontId="9" type="noConversion"/>
  </si>
  <si>
    <t>地震利用途係數I</t>
  </si>
  <si>
    <t>依建築物耐震設計規範2.8節規定計算</t>
    <phoneticPr fontId="9" type="noConversion"/>
  </si>
  <si>
    <t>工址設計水平加速度反映譜係數SaD</t>
  </si>
  <si>
    <t>依建築物耐震設計規範2.6節規定計算</t>
    <phoneticPr fontId="9" type="noConversion"/>
  </si>
  <si>
    <t>結構系統地震力折減係數Fu</t>
  </si>
  <si>
    <t>依建築物耐震設計規範2.9節規定計算</t>
    <phoneticPr fontId="9" type="noConversion"/>
  </si>
  <si>
    <t>視建築物用途依建築技術規則構造篇第17條決定</t>
    <phoneticPr fontId="9" type="noConversion"/>
  </si>
  <si>
    <t>不需進行動力分析者，Rs = 0.95，反之Rs = 1.0。</t>
    <phoneticPr fontId="9" type="noConversion"/>
  </si>
  <si>
    <t>基準案：
25F以下: 2.0
26F以上: 1.5</t>
    <phoneticPr fontId="9" type="noConversion"/>
  </si>
  <si>
    <t>整體建築形狀係數F</t>
  </si>
  <si>
    <t>基準案：
25F以下: 1.1
26F以上: 1.05</t>
    <phoneticPr fontId="9" type="noConversion"/>
  </si>
  <si>
    <t>高爐混凝土採用率BC</t>
  </si>
  <si>
    <t>BC僅對RC構造優惠計算，非RC構造時均設BC=1.0。</t>
    <phoneticPr fontId="9" type="noConversion"/>
  </si>
  <si>
    <t>高性能混凝土採用率HC</t>
  </si>
  <si>
    <t>HC僅對RC、S構造優惠計算，輕鋼構與木構造時均設HC=1.0。</t>
    <phoneticPr fontId="9" type="noConversion"/>
  </si>
  <si>
    <t>舊建築再利用率RN</t>
  </si>
  <si>
    <t>CFum=CFs+CFns</t>
    <phoneticPr fontId="9" type="noConversion"/>
  </si>
  <si>
    <r>
      <t>CFc</t>
    </r>
    <r>
      <rPr>
        <vertAlign val="subscript"/>
        <sz val="12"/>
        <color theme="1"/>
        <rFont val="微軟正黑體"/>
        <family val="2"/>
        <charset val="136"/>
      </rPr>
      <t xml:space="preserve"> </t>
    </r>
    <r>
      <rPr>
        <sz val="12"/>
        <color theme="1"/>
        <rFont val="微軟正黑體"/>
        <family val="2"/>
        <charset val="136"/>
      </rPr>
      <t>=（0.14+ 0.95×S）× AFu ×（1.0 + CFrm/ CFum）</t>
    </r>
    <phoneticPr fontId="9" type="noConversion"/>
  </si>
  <si>
    <t xml:space="preserve">CFc'=（0.14+ 2.14×Sb）× AF </t>
    <phoneticPr fontId="9" type="noConversion"/>
  </si>
  <si>
    <r>
      <t>CFow</t>
    </r>
    <r>
      <rPr>
        <sz val="10"/>
        <color rgb="FF000000"/>
        <rFont val="新細明體"/>
        <family val="1"/>
        <charset val="136"/>
      </rPr>
      <t>新建碳排</t>
    </r>
  </si>
  <si>
    <r>
      <t>Cfow*</t>
    </r>
    <r>
      <rPr>
        <sz val="10"/>
        <color rgb="FF000000"/>
        <rFont val="新細明體"/>
        <family val="1"/>
        <charset val="136"/>
      </rPr>
      <t>修繕更新碳排</t>
    </r>
  </si>
  <si>
    <t>編號</t>
  </si>
  <si>
    <t>構造名稱</t>
  </si>
  <si>
    <r>
      <t>構造面積</t>
    </r>
    <r>
      <rPr>
        <sz val="10"/>
        <color theme="1"/>
        <rFont val="Times New Roman"/>
        <family val="1"/>
      </rPr>
      <t>(</t>
    </r>
    <r>
      <rPr>
        <sz val="10"/>
        <color theme="1"/>
        <rFont val="新細明體"/>
        <family val="1"/>
        <charset val="136"/>
      </rPr>
      <t>㎡</t>
    </r>
    <r>
      <rPr>
        <sz val="10"/>
        <color theme="1"/>
        <rFont val="Times New Roman"/>
        <family val="1"/>
      </rPr>
      <t>)</t>
    </r>
  </si>
  <si>
    <t>單位碳排</t>
  </si>
  <si>
    <t>新建碳排</t>
  </si>
  <si>
    <t>修繕碳排</t>
  </si>
  <si>
    <t>Fow1</t>
  </si>
  <si>
    <r>
      <t>RC</t>
    </r>
    <r>
      <rPr>
        <sz val="10"/>
        <color theme="1"/>
        <rFont val="新細明體"/>
        <family val="1"/>
        <charset val="136"/>
      </rPr>
      <t>外牆貼磁磚</t>
    </r>
  </si>
  <si>
    <t>Σ</t>
  </si>
  <si>
    <r>
      <t>CFw</t>
    </r>
    <r>
      <rPr>
        <sz val="10"/>
        <color rgb="FF000000"/>
        <rFont val="新細明體"/>
        <family val="1"/>
        <charset val="136"/>
      </rPr>
      <t>新建碳排</t>
    </r>
  </si>
  <si>
    <r>
      <t>CFw*</t>
    </r>
    <r>
      <rPr>
        <sz val="10"/>
        <color rgb="FF000000"/>
        <rFont val="新細明體"/>
        <family val="1"/>
        <charset val="136"/>
      </rPr>
      <t>修繕更新碳排</t>
    </r>
  </si>
  <si>
    <t>CFw1</t>
  </si>
  <si>
    <r>
      <t>鋁框</t>
    </r>
    <r>
      <rPr>
        <sz val="10"/>
        <color theme="1"/>
        <rFont val="Times New Roman"/>
        <family val="1"/>
      </rPr>
      <t>+5+5mm</t>
    </r>
    <r>
      <rPr>
        <sz val="10"/>
        <color theme="1"/>
        <rFont val="新細明體"/>
        <family val="1"/>
        <charset val="136"/>
      </rPr>
      <t>玻璃</t>
    </r>
  </si>
  <si>
    <t>CFw2</t>
  </si>
  <si>
    <r>
      <t>鋁框</t>
    </r>
    <r>
      <rPr>
        <sz val="10"/>
        <color theme="1"/>
        <rFont val="Times New Roman"/>
        <family val="1"/>
      </rPr>
      <t>+6+6mm</t>
    </r>
    <r>
      <rPr>
        <sz val="10"/>
        <color theme="1"/>
        <rFont val="新細明體"/>
        <family val="1"/>
        <charset val="136"/>
      </rPr>
      <t>玻璃</t>
    </r>
  </si>
  <si>
    <t>CFw3</t>
  </si>
  <si>
    <r>
      <t>鋁框</t>
    </r>
    <r>
      <rPr>
        <sz val="10"/>
        <color theme="1"/>
        <rFont val="Times New Roman"/>
        <family val="1"/>
      </rPr>
      <t>+</t>
    </r>
    <r>
      <rPr>
        <sz val="10"/>
        <color theme="1"/>
        <rFont val="新細明體"/>
        <family val="1"/>
        <charset val="136"/>
      </rPr>
      <t>清</t>
    </r>
    <r>
      <rPr>
        <sz val="10"/>
        <color theme="1"/>
        <rFont val="Times New Roman"/>
        <family val="1"/>
      </rPr>
      <t>10mm</t>
    </r>
  </si>
  <si>
    <t>CFw4</t>
  </si>
  <si>
    <r>
      <t>鋁框</t>
    </r>
    <r>
      <rPr>
        <sz val="10"/>
        <color theme="1"/>
        <rFont val="Times New Roman"/>
        <family val="1"/>
      </rPr>
      <t>+</t>
    </r>
    <r>
      <rPr>
        <sz val="10"/>
        <color theme="1"/>
        <rFont val="新細明體"/>
        <family val="1"/>
        <charset val="136"/>
      </rPr>
      <t>清</t>
    </r>
    <r>
      <rPr>
        <sz val="10"/>
        <color theme="1"/>
        <rFont val="Times New Roman"/>
        <family val="1"/>
      </rPr>
      <t>5mm</t>
    </r>
  </si>
  <si>
    <r>
      <t>CFiw*</t>
    </r>
    <r>
      <rPr>
        <sz val="10"/>
        <color rgb="FF000000"/>
        <rFont val="新細明體"/>
        <family val="1"/>
        <charset val="136"/>
      </rPr>
      <t>修繕更新碳排</t>
    </r>
    <r>
      <rPr>
        <sz val="10"/>
        <color rgb="FF000000"/>
        <rFont val="Times New Roman"/>
        <family val="1"/>
      </rPr>
      <t>(kg)</t>
    </r>
  </si>
  <si>
    <t>CFiw1</t>
  </si>
  <si>
    <t>Cfiw2</t>
  </si>
  <si>
    <t>Cfiwc</t>
  </si>
  <si>
    <t>CFdw＝（CFd＋CFwa）×（1.0＋CFrm/CFum）</t>
    <phoneticPr fontId="9" type="noConversion"/>
  </si>
  <si>
    <r>
      <t xml:space="preserve">CFd= </t>
    </r>
    <r>
      <rPr>
        <sz val="12"/>
        <color theme="1"/>
        <rFont val="新細明體"/>
        <family val="1"/>
        <charset val="136"/>
        <scheme val="minor"/>
      </rPr>
      <t>（</t>
    </r>
    <r>
      <rPr>
        <sz val="12"/>
        <color theme="1"/>
        <rFont val="Times New Roman"/>
        <family val="1"/>
      </rPr>
      <t>0.06×S +2.01</t>
    </r>
    <r>
      <rPr>
        <sz val="12"/>
        <color theme="1"/>
        <rFont val="新細明體"/>
        <family val="1"/>
        <charset val="136"/>
        <scheme val="minor"/>
      </rPr>
      <t>）</t>
    </r>
    <r>
      <rPr>
        <sz val="12"/>
        <color theme="1"/>
        <rFont val="Times New Roman"/>
        <family val="1"/>
      </rPr>
      <t>× Afu</t>
    </r>
    <phoneticPr fontId="9" type="noConversion"/>
  </si>
  <si>
    <t>CFwa=  0.055 × Wd × Afu</t>
    <phoneticPr fontId="9" type="noConversion"/>
  </si>
  <si>
    <r>
      <t>CFdw’</t>
    </r>
    <r>
      <rPr>
        <sz val="12"/>
        <color theme="1"/>
        <rFont val="新細明體"/>
        <family val="1"/>
        <charset val="136"/>
        <scheme val="minor"/>
      </rPr>
      <t>＝</t>
    </r>
    <r>
      <rPr>
        <sz val="12"/>
        <color theme="1"/>
        <rFont val="Times New Roman"/>
        <family val="1"/>
      </rPr>
      <t>CFd’</t>
    </r>
    <r>
      <rPr>
        <sz val="12"/>
        <color theme="1"/>
        <rFont val="新細明體"/>
        <family val="1"/>
        <charset val="136"/>
        <scheme val="minor"/>
      </rPr>
      <t>＋</t>
    </r>
    <r>
      <rPr>
        <sz val="12"/>
        <color theme="1"/>
        <rFont val="Times New Roman"/>
        <family val="1"/>
      </rPr>
      <t>CFwa’</t>
    </r>
    <phoneticPr fontId="9" type="noConversion"/>
  </si>
  <si>
    <t>CFd’= （0.135×Sb +2.01）× Afb</t>
    <phoneticPr fontId="9" type="noConversion"/>
  </si>
  <si>
    <t>CFwa’=  0.124 × Wd × AFb</t>
  </si>
  <si>
    <t>新建與拆除廢棄物量密度Wd</t>
    <phoneticPr fontId="9" type="noConversion"/>
  </si>
  <si>
    <t>3.施工</t>
    <phoneticPr fontId="9" type="noConversion"/>
  </si>
  <si>
    <t>4.拆除廢棄</t>
    <phoneticPr fontId="9" type="noConversion"/>
  </si>
  <si>
    <t>地上層</t>
    <phoneticPr fontId="9" type="noConversion"/>
  </si>
  <si>
    <t>地下層</t>
  </si>
  <si>
    <t>地下層</t>
    <phoneticPr fontId="9" type="noConversion"/>
  </si>
  <si>
    <r>
      <t>設計案及基準案</t>
    </r>
    <r>
      <rPr>
        <sz val="10"/>
        <color rgb="FF000000"/>
        <rFont val="Times New Roman"/>
        <family val="1"/>
      </rPr>
      <t xml:space="preserve"> (</t>
    </r>
    <r>
      <rPr>
        <sz val="10"/>
        <color rgb="FF000000"/>
        <rFont val="新細明體"/>
        <family val="1"/>
        <charset val="136"/>
      </rPr>
      <t>單位</t>
    </r>
    <r>
      <rPr>
        <sz val="10"/>
        <color rgb="FF000000"/>
        <rFont val="Times New Roman"/>
        <family val="1"/>
      </rPr>
      <t>: kgCO</t>
    </r>
    <r>
      <rPr>
        <vertAlign val="subscript"/>
        <sz val="10"/>
        <color rgb="FF000000"/>
        <rFont val="Times New Roman"/>
        <family val="1"/>
      </rPr>
      <t>2</t>
    </r>
    <r>
      <rPr>
        <sz val="10"/>
        <color rgb="FF000000"/>
        <rFont val="Times New Roman"/>
        <family val="1"/>
      </rPr>
      <t>)</t>
    </r>
  </si>
  <si>
    <r>
      <t>CFr</t>
    </r>
    <r>
      <rPr>
        <sz val="10"/>
        <color rgb="FF000000"/>
        <rFont val="新細明體"/>
        <family val="1"/>
        <charset val="136"/>
      </rPr>
      <t>新建碳排</t>
    </r>
  </si>
  <si>
    <r>
      <t>CFr*</t>
    </r>
    <r>
      <rPr>
        <sz val="10"/>
        <color rgb="FF000000"/>
        <rFont val="新細明體"/>
        <family val="1"/>
        <charset val="136"/>
      </rPr>
      <t>修繕更新碳排</t>
    </r>
  </si>
  <si>
    <t>CFrc</t>
  </si>
  <si>
    <r>
      <t>設計案</t>
    </r>
    <r>
      <rPr>
        <sz val="10"/>
        <color rgb="FF000000"/>
        <rFont val="Times New Roman"/>
        <family val="1"/>
      </rPr>
      <t xml:space="preserve"> (</t>
    </r>
    <r>
      <rPr>
        <sz val="10"/>
        <color rgb="FF000000"/>
        <rFont val="新細明體"/>
        <family val="1"/>
        <charset val="136"/>
      </rPr>
      <t>單位</t>
    </r>
    <r>
      <rPr>
        <sz val="10"/>
        <color rgb="FF000000"/>
        <rFont val="Times New Roman"/>
        <family val="1"/>
      </rPr>
      <t>: kgCO</t>
    </r>
    <r>
      <rPr>
        <vertAlign val="subscript"/>
        <sz val="10"/>
        <color rgb="FF000000"/>
        <rFont val="Times New Roman"/>
        <family val="1"/>
      </rPr>
      <t>2</t>
    </r>
    <r>
      <rPr>
        <sz val="10"/>
        <color rgb="FF000000"/>
        <rFont val="Times New Roman"/>
        <family val="1"/>
      </rPr>
      <t>)</t>
    </r>
  </si>
  <si>
    <r>
      <t>CFf</t>
    </r>
    <r>
      <rPr>
        <sz val="10"/>
        <color rgb="FF000000"/>
        <rFont val="新細明體"/>
        <family val="1"/>
        <charset val="136"/>
      </rPr>
      <t>新建碳排</t>
    </r>
  </si>
  <si>
    <r>
      <t>CFf*</t>
    </r>
    <r>
      <rPr>
        <sz val="10"/>
        <color rgb="FF000000"/>
        <rFont val="新細明體"/>
        <family val="1"/>
        <charset val="136"/>
      </rPr>
      <t>修繕更新碳排</t>
    </r>
  </si>
  <si>
    <t>CFf2</t>
  </si>
  <si>
    <r>
      <t>基準案</t>
    </r>
    <r>
      <rPr>
        <sz val="10"/>
        <color rgb="FF000000"/>
        <rFont val="Times New Roman"/>
        <family val="1"/>
      </rPr>
      <t>(</t>
    </r>
    <r>
      <rPr>
        <sz val="10"/>
        <color rgb="FF000000"/>
        <rFont val="新細明體"/>
        <family val="1"/>
        <charset val="136"/>
      </rPr>
      <t>單位</t>
    </r>
    <r>
      <rPr>
        <sz val="10"/>
        <color rgb="FF000000"/>
        <rFont val="Times New Roman"/>
        <family val="1"/>
      </rPr>
      <t>: kgCO</t>
    </r>
    <r>
      <rPr>
        <vertAlign val="subscript"/>
        <sz val="10"/>
        <color rgb="FF000000"/>
        <rFont val="Times New Roman"/>
        <family val="1"/>
      </rPr>
      <t>2</t>
    </r>
    <r>
      <rPr>
        <sz val="10"/>
        <color rgb="FF000000"/>
        <rFont val="Times New Roman"/>
        <family val="1"/>
      </rPr>
      <t>)</t>
    </r>
  </si>
  <si>
    <t>Cffc</t>
  </si>
  <si>
    <t>CFp1</t>
  </si>
  <si>
    <t>CFp2</t>
  </si>
  <si>
    <t>CFp3</t>
  </si>
  <si>
    <t>CFp4</t>
  </si>
  <si>
    <t>Cfpc</t>
  </si>
  <si>
    <t>項目</t>
  </si>
  <si>
    <t>占比</t>
  </si>
  <si>
    <t>地下層碳排小計</t>
  </si>
  <si>
    <t>地上層EEC</t>
  </si>
  <si>
    <t>更新修繕CFrm</t>
  </si>
  <si>
    <t>施工CFc</t>
  </si>
  <si>
    <t>拆除廢棄CFdw</t>
  </si>
  <si>
    <t>地上層蘊含碳排EEC</t>
  </si>
  <si>
    <r>
      <t>減碳量ΔCF (kgCO</t>
    </r>
    <r>
      <rPr>
        <vertAlign val="subscript"/>
        <sz val="10"/>
        <color theme="1"/>
        <rFont val="微軟正黑體"/>
        <family val="2"/>
        <charset val="136"/>
      </rPr>
      <t>2</t>
    </r>
    <r>
      <rPr>
        <sz val="10"/>
        <color theme="1"/>
        <rFont val="微軟正黑體"/>
        <family val="2"/>
        <charset val="136"/>
      </rPr>
      <t>)</t>
    </r>
  </si>
  <si>
    <r>
      <t>碳排量(kgCO</t>
    </r>
    <r>
      <rPr>
        <vertAlign val="subscript"/>
        <sz val="10"/>
        <color theme="1"/>
        <rFont val="微軟正黑體"/>
        <family val="2"/>
        <charset val="136"/>
      </rPr>
      <t>2</t>
    </r>
    <r>
      <rPr>
        <sz val="10"/>
        <color theme="1"/>
        <rFont val="微軟正黑體"/>
        <family val="2"/>
        <charset val="136"/>
      </rPr>
      <t>)</t>
    </r>
  </si>
  <si>
    <t>地上蘊含</t>
  </si>
  <si>
    <t>減碳參數</t>
  </si>
  <si>
    <t>減碳設計</t>
  </si>
  <si>
    <t>減碳比</t>
  </si>
  <si>
    <t>CFs-1</t>
  </si>
  <si>
    <t>CFiw</t>
  </si>
  <si>
    <t>CFp</t>
  </si>
  <si>
    <t>LL</t>
  </si>
  <si>
    <t>設計及施工減碳量合計</t>
  </si>
  <si>
    <t>設計案EEC</t>
  </si>
  <si>
    <t>地上總樓地板面積AFu=</t>
  </si>
  <si>
    <r>
      <t>碳排(kgCO</t>
    </r>
    <r>
      <rPr>
        <vertAlign val="subscript"/>
        <sz val="10"/>
        <color theme="1"/>
        <rFont val="微軟正黑體"/>
        <family val="2"/>
        <charset val="136"/>
      </rPr>
      <t>2</t>
    </r>
    <r>
      <rPr>
        <sz val="10"/>
        <color theme="1"/>
        <rFont val="微軟正黑體"/>
        <family val="2"/>
        <charset val="136"/>
      </rPr>
      <t>)</t>
    </r>
  </si>
  <si>
    <t>基準案EEC*</t>
  </si>
  <si>
    <t>主結構體採用高性能混凝土設計CSER=1.51</t>
  </si>
  <si>
    <t>跨距比Sp檢討1.72優於標準2.0水準，建築形狀方整形狀係數1.08優於標準1.1水準</t>
    <phoneticPr fontId="9" type="noConversion"/>
  </si>
  <si>
    <t>TEC=CFum + CFs’ + CFrm + CFc+ CFc’ + CFdw+ CFdw’</t>
    <phoneticPr fontId="9" type="noConversion"/>
  </si>
  <si>
    <t>(kg CO2)</t>
    <phoneticPr fontId="9" type="noConversion"/>
  </si>
  <si>
    <t>EEC=CFum + CFrm + CFc + CFdw</t>
    <phoneticPr fontId="9" type="noConversion"/>
  </si>
  <si>
    <t>ECIs  =  EEC / Afu</t>
    <phoneticPr fontId="9" type="noConversion"/>
  </si>
  <si>
    <t>ECI  =  ECIs /(1.0+LL)</t>
    <phoneticPr fontId="9" type="noConversion"/>
  </si>
  <si>
    <t>ΔCFow＝ΣΔFowj×Aowj=</t>
    <phoneticPr fontId="9" type="noConversion"/>
  </si>
  <si>
    <r>
      <t>ΔCFcw</t>
    </r>
    <r>
      <rPr>
        <sz val="12"/>
        <color theme="1"/>
        <rFont val="新細明體"/>
        <family val="1"/>
        <charset val="136"/>
        <scheme val="minor"/>
      </rPr>
      <t>＝</t>
    </r>
    <r>
      <rPr>
        <sz val="12"/>
        <color theme="1"/>
        <rFont val="Times New Roman"/>
        <family val="1"/>
      </rPr>
      <t>ΣΔFcwj×Acwj=</t>
    </r>
    <phoneticPr fontId="9" type="noConversion"/>
  </si>
  <si>
    <r>
      <t>ΔCFw</t>
    </r>
    <r>
      <rPr>
        <sz val="12"/>
        <color theme="1"/>
        <rFont val="新細明體"/>
        <family val="1"/>
        <charset val="136"/>
        <scheme val="minor"/>
      </rPr>
      <t>＝</t>
    </r>
    <r>
      <rPr>
        <sz val="12"/>
        <color theme="1"/>
        <rFont val="Times New Roman"/>
        <family val="1"/>
      </rPr>
      <t>ΣΔFwj×Awj=</t>
    </r>
    <phoneticPr fontId="9" type="noConversion"/>
  </si>
  <si>
    <r>
      <t>ΔCFiw</t>
    </r>
    <r>
      <rPr>
        <sz val="12"/>
        <color theme="1"/>
        <rFont val="新細明體"/>
        <family val="1"/>
        <charset val="136"/>
        <scheme val="minor"/>
      </rPr>
      <t>＝</t>
    </r>
    <r>
      <rPr>
        <sz val="12"/>
        <color theme="1"/>
        <rFont val="Times New Roman"/>
        <family val="1"/>
      </rPr>
      <t>ΣΔFiwj×Aiwj=</t>
    </r>
    <phoneticPr fontId="9" type="noConversion"/>
  </si>
  <si>
    <r>
      <t>ΔCFf</t>
    </r>
    <r>
      <rPr>
        <sz val="12"/>
        <color theme="1"/>
        <rFont val="新細明體"/>
        <family val="1"/>
        <charset val="136"/>
        <scheme val="minor"/>
      </rPr>
      <t>＝</t>
    </r>
    <r>
      <rPr>
        <sz val="12"/>
        <color theme="1"/>
        <rFont val="Times New Roman"/>
        <family val="1"/>
      </rPr>
      <t>ΣΔFfj×Afj =</t>
    </r>
    <phoneticPr fontId="9" type="noConversion"/>
  </si>
  <si>
    <t>ΔCFp=ΣΔFpj×Apj=</t>
  </si>
  <si>
    <r>
      <t>ΔCF</t>
    </r>
    <r>
      <rPr>
        <sz val="12"/>
        <color theme="1"/>
        <rFont val="新細明體"/>
        <family val="1"/>
        <charset val="136"/>
      </rPr>
      <t>＝</t>
    </r>
    <r>
      <rPr>
        <sz val="12"/>
        <color theme="1"/>
        <rFont val="Times New Roman"/>
        <family val="1"/>
      </rPr>
      <t xml:space="preserve">  (</t>
    </r>
    <r>
      <rPr>
        <u/>
        <sz val="12"/>
        <color theme="1"/>
        <rFont val="Times New Roman"/>
        <family val="1"/>
      </rPr>
      <t>CFsc– CFs)</t>
    </r>
    <r>
      <rPr>
        <sz val="12"/>
        <color theme="1"/>
        <rFont val="Times New Roman"/>
        <family val="1"/>
      </rPr>
      <t xml:space="preserve"> </t>
    </r>
    <r>
      <rPr>
        <sz val="12"/>
        <color theme="1"/>
        <rFont val="新細明體"/>
        <family val="1"/>
        <charset val="136"/>
      </rPr>
      <t>＋</t>
    </r>
    <r>
      <rPr>
        <sz val="12"/>
        <color theme="1"/>
        <rFont val="Times New Roman"/>
        <family val="1"/>
      </rPr>
      <t xml:space="preserve">  </t>
    </r>
    <r>
      <rPr>
        <u/>
        <sz val="12"/>
        <color theme="1"/>
        <rFont val="Times New Roman"/>
        <family val="1"/>
      </rPr>
      <t>(ΔCFow</t>
    </r>
    <r>
      <rPr>
        <u/>
        <sz val="12"/>
        <color theme="1"/>
        <rFont val="新細明體"/>
        <family val="1"/>
        <charset val="136"/>
      </rPr>
      <t>＋</t>
    </r>
    <r>
      <rPr>
        <u/>
        <sz val="12"/>
        <color theme="1"/>
        <rFont val="Times New Roman"/>
        <family val="1"/>
      </rPr>
      <t>ΔCFw</t>
    </r>
    <r>
      <rPr>
        <u/>
        <sz val="12"/>
        <color theme="1"/>
        <rFont val="新細明體"/>
        <family val="1"/>
        <charset val="136"/>
      </rPr>
      <t>＋</t>
    </r>
    <r>
      <rPr>
        <u/>
        <sz val="12"/>
        <color theme="1"/>
        <rFont val="Times New Roman"/>
        <family val="1"/>
      </rPr>
      <t>ΔCFcw</t>
    </r>
    <r>
      <rPr>
        <u/>
        <sz val="12"/>
        <color theme="1"/>
        <rFont val="新細明體"/>
        <family val="1"/>
        <charset val="136"/>
      </rPr>
      <t>＋</t>
    </r>
    <r>
      <rPr>
        <u/>
        <sz val="12"/>
        <color theme="1"/>
        <rFont val="Times New Roman"/>
        <family val="1"/>
      </rPr>
      <t>ΔCFiw</t>
    </r>
    <r>
      <rPr>
        <u/>
        <sz val="12"/>
        <color theme="1"/>
        <rFont val="新細明體"/>
        <family val="1"/>
        <charset val="136"/>
      </rPr>
      <t>＋</t>
    </r>
    <r>
      <rPr>
        <u/>
        <sz val="12"/>
        <color theme="1"/>
        <rFont val="Times New Roman"/>
        <family val="1"/>
      </rPr>
      <t>ΔCFf</t>
    </r>
    <r>
      <rPr>
        <u/>
        <sz val="12"/>
        <color theme="1"/>
        <rFont val="新細明體"/>
        <family val="1"/>
        <charset val="136"/>
      </rPr>
      <t>＋</t>
    </r>
    <r>
      <rPr>
        <u/>
        <sz val="12"/>
        <color theme="1"/>
        <rFont val="Times New Roman"/>
        <family val="1"/>
      </rPr>
      <t xml:space="preserve">ΔCFp)–ΣCMk ×Uk–ΣLCCm </t>
    </r>
    <phoneticPr fontId="9" type="noConversion"/>
  </si>
  <si>
    <r>
      <t>CFR</t>
    </r>
    <r>
      <rPr>
        <sz val="12"/>
        <color theme="1"/>
        <rFont val="新細明體"/>
        <family val="1"/>
        <charset val="136"/>
        <scheme val="minor"/>
      </rPr>
      <t>＝</t>
    </r>
    <r>
      <rPr>
        <sz val="12"/>
        <color theme="1"/>
        <rFont val="Times New Roman"/>
        <family val="1"/>
      </rPr>
      <t xml:space="preserve">ΔCF×(1.0+LL)/ EEC </t>
    </r>
  </si>
  <si>
    <t>構造部位</t>
  </si>
  <si>
    <r>
      <t>(</t>
    </r>
    <r>
      <rPr>
        <sz val="10"/>
        <color rgb="FF000000"/>
        <rFont val="新細明體"/>
        <family val="1"/>
        <charset val="136"/>
      </rPr>
      <t>單位</t>
    </r>
    <r>
      <rPr>
        <sz val="10"/>
        <color rgb="FF000000"/>
        <rFont val="Times New Roman"/>
        <family val="1"/>
      </rPr>
      <t>: kgCO</t>
    </r>
    <r>
      <rPr>
        <vertAlign val="subscript"/>
        <sz val="10"/>
        <color rgb="FF000000"/>
        <rFont val="Times New Roman"/>
        <family val="1"/>
      </rPr>
      <t>2</t>
    </r>
    <r>
      <rPr>
        <sz val="10"/>
        <color rgb="FF000000"/>
        <rFont val="Times New Roman"/>
        <family val="1"/>
      </rPr>
      <t>)</t>
    </r>
  </si>
  <si>
    <t>CFum</t>
  </si>
  <si>
    <t>新建資材</t>
  </si>
  <si>
    <t>CFrm</t>
  </si>
  <si>
    <t>更新資材</t>
  </si>
  <si>
    <t>CFum+CFrm</t>
  </si>
  <si>
    <t>各部位建材</t>
  </si>
  <si>
    <t>碳排組成</t>
  </si>
  <si>
    <r>
      <t>主結構體</t>
    </r>
    <r>
      <rPr>
        <sz val="10"/>
        <color theme="1"/>
        <rFont val="Times New Roman"/>
        <family val="1"/>
      </rPr>
      <t>CFs</t>
    </r>
  </si>
  <si>
    <r>
      <t>非主結構</t>
    </r>
    <r>
      <rPr>
        <sz val="10"/>
        <color theme="1"/>
        <rFont val="Times New Roman"/>
        <family val="1"/>
      </rPr>
      <t>CFns</t>
    </r>
  </si>
  <si>
    <r>
      <t>外牆外裝</t>
    </r>
    <r>
      <rPr>
        <sz val="10"/>
        <color theme="1"/>
        <rFont val="Times New Roman"/>
        <family val="1"/>
      </rPr>
      <t>CFow</t>
    </r>
  </si>
  <si>
    <r>
      <t>外窗</t>
    </r>
    <r>
      <rPr>
        <sz val="10"/>
        <color theme="1"/>
        <rFont val="Times New Roman"/>
        <family val="1"/>
      </rPr>
      <t>CFw</t>
    </r>
  </si>
  <si>
    <r>
      <t>不透光帷幕牆</t>
    </r>
    <r>
      <rPr>
        <sz val="10"/>
        <color theme="1"/>
        <rFont val="Times New Roman"/>
        <family val="1"/>
      </rPr>
      <t>CFcw</t>
    </r>
  </si>
  <si>
    <r>
      <t>內隔間</t>
    </r>
    <r>
      <rPr>
        <sz val="10"/>
        <color theme="1"/>
        <rFont val="Times New Roman"/>
        <family val="1"/>
      </rPr>
      <t>CFiw</t>
    </r>
  </si>
  <si>
    <r>
      <t>屋頂防水隔熱</t>
    </r>
    <r>
      <rPr>
        <sz val="10"/>
        <color theme="1"/>
        <rFont val="Times New Roman"/>
        <family val="1"/>
      </rPr>
      <t>CFr</t>
    </r>
  </si>
  <si>
    <r>
      <t>室內地坪</t>
    </r>
    <r>
      <rPr>
        <sz val="10"/>
        <color theme="1"/>
        <rFont val="Times New Roman"/>
        <family val="1"/>
      </rPr>
      <t>CFf</t>
    </r>
  </si>
  <si>
    <r>
      <t>戶外地坪</t>
    </r>
    <r>
      <rPr>
        <sz val="10"/>
        <color theme="1"/>
        <rFont val="Times New Roman"/>
        <family val="1"/>
      </rPr>
      <t>CFp</t>
    </r>
  </si>
  <si>
    <r>
      <t>非主結構資材</t>
    </r>
    <r>
      <rPr>
        <sz val="10"/>
        <color rgb="FF000000"/>
        <rFont val="Times New Roman"/>
        <family val="1"/>
      </rPr>
      <t>CFns</t>
    </r>
    <r>
      <rPr>
        <sz val="10"/>
        <color rgb="FF000000"/>
        <rFont val="新細明體"/>
        <family val="1"/>
        <charset val="136"/>
      </rPr>
      <t>小計</t>
    </r>
  </si>
  <si>
    <t>1. 外牆外裝Cfow</t>
    <phoneticPr fontId="9" type="noConversion"/>
  </si>
  <si>
    <t>Fow2</t>
  </si>
  <si>
    <t>Fow3</t>
  </si>
  <si>
    <r>
      <t>設計案</t>
    </r>
    <r>
      <rPr>
        <sz val="10"/>
        <color rgb="FF000000"/>
        <rFont val="Times New Roman"/>
        <family val="1"/>
      </rPr>
      <t>(</t>
    </r>
    <r>
      <rPr>
        <sz val="10"/>
        <color rgb="FF000000"/>
        <rFont val="新細明體"/>
        <family val="1"/>
        <charset val="136"/>
      </rPr>
      <t>單位</t>
    </r>
    <r>
      <rPr>
        <sz val="10"/>
        <color rgb="FF000000"/>
        <rFont val="Times New Roman"/>
        <family val="1"/>
      </rPr>
      <t>: kgCO</t>
    </r>
    <r>
      <rPr>
        <vertAlign val="subscript"/>
        <sz val="10"/>
        <color rgb="FF000000"/>
        <rFont val="Times New Roman"/>
        <family val="1"/>
      </rPr>
      <t>2</t>
    </r>
    <r>
      <rPr>
        <sz val="10"/>
        <color rgb="FF000000"/>
        <rFont val="Times New Roman"/>
        <family val="1"/>
      </rPr>
      <t>)</t>
    </r>
    <phoneticPr fontId="9" type="noConversion"/>
  </si>
  <si>
    <r>
      <t>基準案</t>
    </r>
    <r>
      <rPr>
        <sz val="10"/>
        <color rgb="FF000000"/>
        <rFont val="Times New Roman"/>
        <family val="1"/>
      </rPr>
      <t>(</t>
    </r>
    <r>
      <rPr>
        <sz val="10"/>
        <color rgb="FF000000"/>
        <rFont val="新細明體"/>
        <family val="1"/>
        <charset val="136"/>
      </rPr>
      <t>單位</t>
    </r>
    <r>
      <rPr>
        <sz val="10"/>
        <color rgb="FF000000"/>
        <rFont val="Times New Roman"/>
        <family val="1"/>
      </rPr>
      <t>: kgCO</t>
    </r>
    <r>
      <rPr>
        <vertAlign val="subscript"/>
        <sz val="10"/>
        <color rgb="FF000000"/>
        <rFont val="Times New Roman"/>
        <family val="1"/>
      </rPr>
      <t>2</t>
    </r>
    <r>
      <rPr>
        <sz val="10"/>
        <color rgb="FF000000"/>
        <rFont val="Times New Roman"/>
        <family val="1"/>
      </rPr>
      <t>)</t>
    </r>
    <phoneticPr fontId="9" type="noConversion"/>
  </si>
  <si>
    <r>
      <t>設計案</t>
    </r>
    <r>
      <rPr>
        <sz val="10"/>
        <color rgb="FF000000"/>
        <rFont val="Times New Roman"/>
        <family val="1"/>
      </rPr>
      <t xml:space="preserve"> (</t>
    </r>
    <r>
      <rPr>
        <sz val="10"/>
        <color rgb="FF000000"/>
        <rFont val="新細明體"/>
        <family val="1"/>
        <charset val="136"/>
      </rPr>
      <t>單位</t>
    </r>
    <r>
      <rPr>
        <sz val="10"/>
        <color rgb="FF000000"/>
        <rFont val="Times New Roman"/>
        <family val="1"/>
      </rPr>
      <t>: kgCO</t>
    </r>
    <r>
      <rPr>
        <vertAlign val="subscript"/>
        <sz val="10"/>
        <color rgb="FF000000"/>
        <rFont val="Times New Roman"/>
        <family val="1"/>
      </rPr>
      <t>2</t>
    </r>
    <r>
      <rPr>
        <sz val="10"/>
        <color rgb="FF000000"/>
        <rFont val="Times New Roman"/>
        <family val="1"/>
      </rPr>
      <t>)</t>
    </r>
    <phoneticPr fontId="9" type="noConversion"/>
  </si>
  <si>
    <t>2.外窗CFw</t>
  </si>
  <si>
    <t>3. 不透光帷幕牆CFcw</t>
    <phoneticPr fontId="9" type="noConversion"/>
  </si>
  <si>
    <t>*註：貼磁磚外牆表層更新1次；塗料外裝更新3次，詳見附錄二表1</t>
    <phoneticPr fontId="9" type="noConversion"/>
  </si>
  <si>
    <t>金屬板面內襯隔熱材帷幕牆</t>
    <phoneticPr fontId="9" type="noConversion"/>
  </si>
  <si>
    <t>*註：僅木窗框更新次數2，單位碳排5.22，其餘更新次數0，無修繕碳排，詳見附錄二表2</t>
    <phoneticPr fontId="9" type="noConversion"/>
  </si>
  <si>
    <t>CFcw1</t>
    <phoneticPr fontId="9" type="noConversion"/>
  </si>
  <si>
    <t>CFcw2</t>
    <phoneticPr fontId="9" type="noConversion"/>
  </si>
  <si>
    <t>*註：不透光帷幕牆生命週期60年，無須更新修繕，更新次數0，詳見附錄二表3</t>
    <phoneticPr fontId="9" type="noConversion"/>
  </si>
  <si>
    <r>
      <t>CFiw</t>
    </r>
    <r>
      <rPr>
        <sz val="10"/>
        <color rgb="FF000000"/>
        <rFont val="新細明體"/>
        <family val="1"/>
        <charset val="136"/>
      </rPr>
      <t>新建碳排</t>
    </r>
    <phoneticPr fontId="9" type="noConversion"/>
  </si>
  <si>
    <r>
      <t>CFiw*</t>
    </r>
    <r>
      <rPr>
        <sz val="10"/>
        <color rgb="FF000000"/>
        <rFont val="新細明體"/>
        <family val="1"/>
        <charset val="136"/>
      </rPr>
      <t>修繕更新碳排</t>
    </r>
    <phoneticPr fontId="9" type="noConversion"/>
  </si>
  <si>
    <t>*註：高耗損更新次數2；中耗損更新次數1，低耗損更新次數0，詳見附錄二表4</t>
    <phoneticPr fontId="9" type="noConversion"/>
  </si>
  <si>
    <t>*註：所有屋頂防水隔熱工法不論防水隔熱材質尺寸差異均採同數值，更新次數5，無減碳量</t>
    <phoneticPr fontId="9" type="noConversion"/>
  </si>
  <si>
    <t>CFf3</t>
    <phoneticPr fontId="9" type="noConversion"/>
  </si>
  <si>
    <t>*註：高耗損更新次數、中耗損更新次數、低耗損更新次數一工法種類各有不同，詳見附錄二表6</t>
    <phoneticPr fontId="9" type="noConversion"/>
  </si>
  <si>
    <t>(基層)</t>
    <phoneticPr fontId="9" type="noConversion"/>
  </si>
  <si>
    <t>(表層)</t>
    <phoneticPr fontId="9" type="noConversion"/>
  </si>
  <si>
    <t>*註：高耗損更新次數、中耗損更新次數、低耗損更新次數一工法種類各有不同，詳見附錄二表7</t>
    <phoneticPr fontId="9" type="noConversion"/>
  </si>
  <si>
    <t>建材名稱</t>
    <phoneticPr fontId="9" type="noConversion"/>
  </si>
  <si>
    <t>單位量Uk(單位.)</t>
    <phoneticPr fontId="9" type="noConversion"/>
  </si>
  <si>
    <t>減碳量</t>
    <phoneticPr fontId="9" type="noConversion"/>
  </si>
  <si>
    <t>再生建材減碳量</t>
    <phoneticPr fontId="9" type="noConversion"/>
  </si>
  <si>
    <t>Lccm=</t>
    <phoneticPr fontId="9" type="noConversion"/>
  </si>
  <si>
    <r>
      <t>設計案低碳工法減碳量</t>
    </r>
    <r>
      <rPr>
        <sz val="10"/>
        <color rgb="FF000000"/>
        <rFont val="Times New Roman"/>
        <family val="1"/>
      </rPr>
      <t>(</t>
    </r>
    <r>
      <rPr>
        <sz val="10"/>
        <color rgb="FF000000"/>
        <rFont val="新細明體"/>
        <family val="1"/>
        <charset val="136"/>
      </rPr>
      <t>單位</t>
    </r>
    <r>
      <rPr>
        <sz val="10"/>
        <color rgb="FF000000"/>
        <rFont val="Times New Roman"/>
        <family val="1"/>
      </rPr>
      <t>: kgCO</t>
    </r>
    <r>
      <rPr>
        <vertAlign val="subscript"/>
        <sz val="10"/>
        <color rgb="FF000000"/>
        <rFont val="Times New Roman"/>
        <family val="1"/>
      </rPr>
      <t>2</t>
    </r>
    <r>
      <rPr>
        <sz val="10"/>
        <color rgb="FF000000"/>
        <rFont val="Times New Roman"/>
        <family val="1"/>
      </rPr>
      <t>)</t>
    </r>
    <phoneticPr fontId="9" type="noConversion"/>
  </si>
  <si>
    <t>地上層建築資材CFs/CFns總覽</t>
    <phoneticPr fontId="9" type="noConversion"/>
  </si>
  <si>
    <t>4.內隔間CFiw</t>
    <phoneticPr fontId="9" type="noConversion"/>
  </si>
  <si>
    <t>5.屋頂防水隔熱CFr</t>
    <phoneticPr fontId="9" type="noConversion"/>
  </si>
  <si>
    <t>6.室內地坪CFf</t>
    <phoneticPr fontId="9" type="noConversion"/>
  </si>
  <si>
    <t>7.戶外地坪CFp</t>
    <phoneticPr fontId="9" type="noConversion"/>
  </si>
  <si>
    <t>基準案</t>
    <phoneticPr fontId="9" type="noConversion"/>
  </si>
  <si>
    <r>
      <rPr>
        <sz val="10"/>
        <color rgb="FF000000"/>
        <rFont val="細明體"/>
        <family val="3"/>
        <charset val="136"/>
      </rPr>
      <t>設計案</t>
    </r>
    <r>
      <rPr>
        <sz val="10"/>
        <color rgb="FF000000"/>
        <rFont val="Times New Roman"/>
        <family val="1"/>
      </rPr>
      <t>CFum</t>
    </r>
    <phoneticPr fontId="9" type="noConversion"/>
  </si>
  <si>
    <r>
      <rPr>
        <sz val="10"/>
        <color rgb="FF000000"/>
        <rFont val="細明體"/>
        <family val="3"/>
        <charset val="136"/>
      </rPr>
      <t>基準案</t>
    </r>
    <r>
      <rPr>
        <sz val="10"/>
        <color rgb="FF000000"/>
        <rFont val="Times New Roman"/>
        <family val="1"/>
      </rPr>
      <t>CFum</t>
    </r>
    <phoneticPr fontId="9" type="noConversion"/>
  </si>
  <si>
    <t>ΔCFs＝CFsc-CFs</t>
    <phoneticPr fontId="9" type="noConversion"/>
  </si>
  <si>
    <t xml:space="preserve">ΔCF＝  </t>
  </si>
  <si>
    <t>施工延壽優惠LL</t>
  </si>
  <si>
    <t>TEC=</t>
    <phoneticPr fontId="9" type="noConversion"/>
  </si>
  <si>
    <t>說明：統包商若為五年內行政院、直轄市工程品質金質獎之優良營造廠施工(另附證明文件)，可得整體建築延壽優惠係數LL優惠為0.2。</t>
    <phoneticPr fontId="9" type="noConversion"/>
  </si>
  <si>
    <t>LL=</t>
    <phoneticPr fontId="9" type="noConversion"/>
  </si>
  <si>
    <t>設計技術減碳量合計</t>
    <phoneticPr fontId="9" type="noConversion"/>
  </si>
  <si>
    <t>ΔCFs＝CFs-CFSc</t>
    <phoneticPr fontId="9" type="noConversion"/>
  </si>
  <si>
    <t>主結構體</t>
    <phoneticPr fontId="9" type="noConversion"/>
  </si>
  <si>
    <t>外牆外裝</t>
    <phoneticPr fontId="9" type="noConversion"/>
  </si>
  <si>
    <t>外窗</t>
    <phoneticPr fontId="9" type="noConversion"/>
  </si>
  <si>
    <t>不透光帷幕牆</t>
    <phoneticPr fontId="9" type="noConversion"/>
  </si>
  <si>
    <t>屋頂防水隔熱</t>
    <phoneticPr fontId="9" type="noConversion"/>
  </si>
  <si>
    <t>內隔間</t>
    <phoneticPr fontId="9" type="noConversion"/>
  </si>
  <si>
    <t>室內地坪</t>
    <phoneticPr fontId="9" type="noConversion"/>
  </si>
  <si>
    <t>戶外地坪</t>
    <phoneticPr fontId="9" type="noConversion"/>
  </si>
  <si>
    <t>生命週期碳足跡(地上層)</t>
    <phoneticPr fontId="9" type="noConversion"/>
  </si>
  <si>
    <t>ΔCFLL=設計技術減碳量合計-ΔCF×(1.0+LL)=</t>
    <phoneticPr fontId="9" type="noConversion"/>
  </si>
  <si>
    <t>Sp+F貢獻=ΔCu*BC*HC*RN</t>
    <phoneticPr fontId="9" type="noConversion"/>
  </si>
  <si>
    <t>HC貢獻</t>
    <phoneticPr fontId="9" type="noConversion"/>
  </si>
  <si>
    <t>BC貢獻</t>
    <phoneticPr fontId="9" type="noConversion"/>
  </si>
  <si>
    <t>檢討BC,HC,減碳量</t>
    <phoneticPr fontId="9" type="noConversion"/>
  </si>
  <si>
    <t xml:space="preserve">ΔCF＝  </t>
    <phoneticPr fontId="9" type="noConversion"/>
  </si>
  <si>
    <t>ΔCFp=ΣΔFpj×Apj=</t>
    <phoneticPr fontId="9" type="noConversion"/>
  </si>
  <si>
    <r>
      <t>建築延壽優惠係數</t>
    </r>
    <r>
      <rPr>
        <sz val="11"/>
        <color theme="1"/>
        <rFont val="Times New Roman"/>
        <family val="1"/>
      </rPr>
      <t>LL</t>
    </r>
    <phoneticPr fontId="9" type="noConversion"/>
  </si>
  <si>
    <t>活載重L</t>
    <phoneticPr fontId="9" type="noConversion"/>
  </si>
  <si>
    <t>靜力折減分析Rs</t>
    <phoneticPr fontId="9" type="noConversion"/>
  </si>
  <si>
    <t>跨距變化Sp</t>
    <phoneticPr fontId="9" type="noConversion"/>
  </si>
  <si>
    <t>蘊含碳排尺規指標ECIs</t>
    <phoneticPr fontId="9" type="noConversion"/>
  </si>
  <si>
    <t>CFs-2</t>
    <phoneticPr fontId="9" type="noConversion"/>
  </si>
  <si>
    <t>CFs-3</t>
    <phoneticPr fontId="9" type="noConversion"/>
  </si>
  <si>
    <t>主結構體採用15%高爐混凝土</t>
    <phoneticPr fontId="9" type="noConversion"/>
  </si>
  <si>
    <t>內隔間全面採用灌漿牆取代磚牆</t>
    <phoneticPr fontId="9" type="noConversion"/>
  </si>
  <si>
    <t>良好施工品質提供建築延壽</t>
    <phoneticPr fontId="9" type="noConversion"/>
  </si>
  <si>
    <t>資材製造運輸CFum</t>
    <phoneticPr fontId="9" type="noConversion"/>
  </si>
  <si>
    <t>邊界</t>
    <phoneticPr fontId="9" type="noConversion"/>
  </si>
  <si>
    <t>全生命週期碳排TEC</t>
    <phoneticPr fontId="9" type="noConversion"/>
  </si>
  <si>
    <t>生命週期四階段蘊含碳排</t>
    <phoneticPr fontId="9" type="noConversion"/>
  </si>
  <si>
    <t>各項減碳設計ΔCF貢獻度分析</t>
    <phoneticPr fontId="9" type="noConversion"/>
  </si>
  <si>
    <t>結構計算報告參數</t>
    <phoneticPr fontId="9" type="noConversion"/>
  </si>
  <si>
    <t>地下層樓地板面積AFb(㎡)</t>
    <phoneticPr fontId="9" type="noConversion"/>
  </si>
  <si>
    <t>內部隔間D0(kg/㎡)</t>
    <phoneticPr fontId="9" type="noConversion"/>
  </si>
  <si>
    <t>結構設計參數</t>
    <phoneticPr fontId="9" type="noConversion"/>
  </si>
  <si>
    <t>地下層資材CFs’</t>
    <phoneticPr fontId="9" type="noConversion"/>
  </si>
  <si>
    <t>地下施工CFc’</t>
    <phoneticPr fontId="9" type="noConversion"/>
  </si>
  <si>
    <t>地下拆除廢棄CFdw’</t>
    <phoneticPr fontId="9" type="noConversion"/>
  </si>
  <si>
    <r>
      <rPr>
        <b/>
        <sz val="14"/>
        <color theme="1"/>
        <rFont val="細明體"/>
        <family val="3"/>
        <charset val="136"/>
      </rPr>
      <t>□</t>
    </r>
    <r>
      <rPr>
        <b/>
        <sz val="12"/>
        <color theme="1"/>
        <rFont val="Times New Roman"/>
        <family val="1"/>
      </rPr>
      <t>1</t>
    </r>
    <r>
      <rPr>
        <b/>
        <vertAlign val="superscript"/>
        <sz val="12"/>
        <color theme="1"/>
        <rFont val="Times New Roman"/>
        <family val="1"/>
      </rPr>
      <t>+</t>
    </r>
    <r>
      <rPr>
        <b/>
        <sz val="12"/>
        <color theme="1"/>
        <rFont val="新細明體"/>
        <family val="1"/>
        <charset val="136"/>
      </rPr>
      <t>級</t>
    </r>
    <r>
      <rPr>
        <b/>
        <sz val="12"/>
        <color theme="1"/>
        <rFont val="Times New Roman"/>
        <family val="1"/>
      </rPr>
      <t xml:space="preserve">  </t>
    </r>
    <r>
      <rPr>
        <b/>
        <sz val="14"/>
        <color theme="1"/>
        <rFont val="微軟正黑體"/>
        <family val="2"/>
        <charset val="136"/>
      </rPr>
      <t>▄</t>
    </r>
    <r>
      <rPr>
        <b/>
        <sz val="12"/>
        <color theme="1"/>
        <rFont val="Times New Roman"/>
        <family val="1"/>
      </rPr>
      <t>1</t>
    </r>
    <r>
      <rPr>
        <b/>
        <sz val="12"/>
        <color theme="1"/>
        <rFont val="新細明體"/>
        <family val="1"/>
        <charset val="136"/>
      </rPr>
      <t>級</t>
    </r>
    <r>
      <rPr>
        <b/>
        <sz val="12"/>
        <color theme="1"/>
        <rFont val="Times New Roman"/>
        <family val="1"/>
      </rPr>
      <t xml:space="preserve">  </t>
    </r>
    <r>
      <rPr>
        <b/>
        <sz val="14"/>
        <color theme="1"/>
        <rFont val="細明體"/>
        <family val="3"/>
        <charset val="136"/>
      </rPr>
      <t>□</t>
    </r>
    <r>
      <rPr>
        <b/>
        <sz val="12"/>
        <color theme="1"/>
        <rFont val="Times New Roman"/>
        <family val="1"/>
      </rPr>
      <t>2</t>
    </r>
    <r>
      <rPr>
        <b/>
        <sz val="12"/>
        <color theme="1"/>
        <rFont val="新細明體"/>
        <family val="1"/>
        <charset val="136"/>
      </rPr>
      <t>級</t>
    </r>
    <r>
      <rPr>
        <b/>
        <sz val="12"/>
        <color theme="1"/>
        <rFont val="Times New Roman"/>
        <family val="1"/>
      </rPr>
      <t xml:space="preserve">  </t>
    </r>
    <r>
      <rPr>
        <b/>
        <sz val="12"/>
        <color theme="1"/>
        <rFont val="細明體"/>
        <family val="3"/>
        <charset val="136"/>
      </rPr>
      <t>□</t>
    </r>
    <r>
      <rPr>
        <b/>
        <sz val="12"/>
        <color theme="1"/>
        <rFont val="Times New Roman"/>
        <family val="1"/>
      </rPr>
      <t>3</t>
    </r>
    <r>
      <rPr>
        <b/>
        <sz val="12"/>
        <color theme="1"/>
        <rFont val="新細明體"/>
        <family val="1"/>
        <charset val="136"/>
      </rPr>
      <t>級</t>
    </r>
    <r>
      <rPr>
        <b/>
        <sz val="12"/>
        <color theme="1"/>
        <rFont val="Times New Roman"/>
        <family val="1"/>
      </rPr>
      <t xml:space="preserve">  </t>
    </r>
    <r>
      <rPr>
        <b/>
        <sz val="12"/>
        <color theme="1"/>
        <rFont val="細明體"/>
        <family val="3"/>
        <charset val="136"/>
      </rPr>
      <t>□</t>
    </r>
    <r>
      <rPr>
        <b/>
        <sz val="12"/>
        <color theme="1"/>
        <rFont val="Times New Roman"/>
        <family val="1"/>
      </rPr>
      <t>4</t>
    </r>
    <r>
      <rPr>
        <b/>
        <sz val="12"/>
        <color theme="1"/>
        <rFont val="新細明體"/>
        <family val="1"/>
        <charset val="136"/>
      </rPr>
      <t>級</t>
    </r>
    <r>
      <rPr>
        <b/>
        <sz val="12"/>
        <color theme="1"/>
        <rFont val="Times New Roman"/>
        <family val="1"/>
      </rPr>
      <t xml:space="preserve">  </t>
    </r>
    <r>
      <rPr>
        <b/>
        <sz val="14"/>
        <color theme="1"/>
        <rFont val="細明體"/>
        <family val="3"/>
        <charset val="136"/>
      </rPr>
      <t>□</t>
    </r>
    <r>
      <rPr>
        <b/>
        <sz val="12"/>
        <color theme="1"/>
        <rFont val="Times New Roman"/>
        <family val="1"/>
      </rPr>
      <t>5</t>
    </r>
    <r>
      <rPr>
        <b/>
        <sz val="12"/>
        <color theme="1"/>
        <rFont val="新細明體"/>
        <family val="1"/>
        <charset val="136"/>
      </rPr>
      <t>級</t>
    </r>
    <r>
      <rPr>
        <b/>
        <sz val="12"/>
        <color theme="1"/>
        <rFont val="Times New Roman"/>
        <family val="1"/>
      </rPr>
      <t xml:space="preserve">  </t>
    </r>
    <r>
      <rPr>
        <b/>
        <sz val="14"/>
        <color theme="1"/>
        <rFont val="細明體"/>
        <family val="3"/>
        <charset val="136"/>
      </rPr>
      <t>□</t>
    </r>
    <r>
      <rPr>
        <b/>
        <sz val="12"/>
        <color theme="1"/>
        <rFont val="Times New Roman"/>
        <family val="1"/>
      </rPr>
      <t>6</t>
    </r>
    <r>
      <rPr>
        <b/>
        <sz val="12"/>
        <color theme="1"/>
        <rFont val="新細明體"/>
        <family val="1"/>
        <charset val="136"/>
      </rPr>
      <t>級</t>
    </r>
    <r>
      <rPr>
        <b/>
        <sz val="12"/>
        <color theme="1"/>
        <rFont val="Times New Roman"/>
        <family val="1"/>
      </rPr>
      <t xml:space="preserve">  </t>
    </r>
    <r>
      <rPr>
        <b/>
        <sz val="14"/>
        <color theme="1"/>
        <rFont val="細明體"/>
        <family val="3"/>
        <charset val="136"/>
      </rPr>
      <t>□</t>
    </r>
    <r>
      <rPr>
        <b/>
        <sz val="12"/>
        <color theme="1"/>
        <rFont val="Times New Roman"/>
        <family val="1"/>
      </rPr>
      <t>7</t>
    </r>
    <r>
      <rPr>
        <b/>
        <sz val="12"/>
        <color theme="1"/>
        <rFont val="新細明體"/>
        <family val="1"/>
        <charset val="136"/>
      </rPr>
      <t>級</t>
    </r>
    <phoneticPr fontId="9" type="noConversion"/>
  </si>
  <si>
    <t>認證等級</t>
    <phoneticPr fontId="9" type="noConversion"/>
  </si>
  <si>
    <r>
      <t>帷幕牆</t>
    </r>
    <r>
      <rPr>
        <sz val="10"/>
        <color theme="1"/>
        <rFont val="Times New Roman"/>
        <family val="1"/>
      </rPr>
      <t>CFcw</t>
    </r>
    <phoneticPr fontId="9" type="noConversion"/>
  </si>
  <si>
    <t>傳統15cm RC外牆</t>
    <phoneticPr fontId="9" type="noConversion"/>
  </si>
  <si>
    <t>磚牆雙面粉刷</t>
    <phoneticPr fontId="9" type="noConversion"/>
  </si>
  <si>
    <t>石材版內襯隔熱材帷幕牆</t>
    <phoneticPr fontId="9" type="noConversion"/>
  </si>
  <si>
    <r>
      <t>再生建材碳排標準CMk(kgCO</t>
    </r>
    <r>
      <rPr>
        <vertAlign val="subscript"/>
        <sz val="10"/>
        <color theme="1"/>
        <rFont val="新細明體"/>
        <family val="1"/>
        <charset val="136"/>
      </rPr>
      <t>2</t>
    </r>
    <r>
      <rPr>
        <sz val="10"/>
        <color theme="1"/>
        <rFont val="新細明體"/>
        <family val="1"/>
        <charset val="136"/>
      </rPr>
      <t>/單位)</t>
    </r>
    <phoneticPr fontId="9" type="noConversion"/>
  </si>
  <si>
    <r>
      <t>CFiw</t>
    </r>
    <r>
      <rPr>
        <sz val="10"/>
        <color rgb="FF000000"/>
        <rFont val="新細明體"/>
        <family val="1"/>
        <charset val="136"/>
      </rPr>
      <t>新建碳排</t>
    </r>
    <r>
      <rPr>
        <sz val="10"/>
        <color rgb="FF000000"/>
        <rFont val="Times New Roman"/>
        <family val="1"/>
      </rPr>
      <t>(kg)</t>
    </r>
    <phoneticPr fontId="9" type="noConversion"/>
  </si>
  <si>
    <r>
      <t>基準案</t>
    </r>
    <r>
      <rPr>
        <sz val="10"/>
        <color rgb="FF000000"/>
        <rFont val="Times New Roman"/>
        <family val="1"/>
      </rPr>
      <t xml:space="preserve"> (</t>
    </r>
    <r>
      <rPr>
        <sz val="10"/>
        <color rgb="FF000000"/>
        <rFont val="新細明體"/>
        <family val="1"/>
        <charset val="136"/>
      </rPr>
      <t>單位</t>
    </r>
    <r>
      <rPr>
        <sz val="10"/>
        <color rgb="FF000000"/>
        <rFont val="Times New Roman"/>
        <family val="1"/>
      </rPr>
      <t>:kg)</t>
    </r>
    <phoneticPr fontId="9" type="noConversion"/>
  </si>
  <si>
    <t>更新單位碳排*</t>
    <phoneticPr fontId="9" type="noConversion"/>
  </si>
  <si>
    <r>
      <t>CFw*</t>
    </r>
    <r>
      <rPr>
        <sz val="10"/>
        <color rgb="FF000000"/>
        <rFont val="新細明體"/>
        <family val="1"/>
        <charset val="136"/>
      </rPr>
      <t>修繕更新碳排</t>
    </r>
    <phoneticPr fontId="9" type="noConversion"/>
  </si>
  <si>
    <t>單位碳排*</t>
    <phoneticPr fontId="9" type="noConversion"/>
  </si>
  <si>
    <r>
      <t>CFf*</t>
    </r>
    <r>
      <rPr>
        <sz val="10"/>
        <color rgb="FF000000"/>
        <rFont val="新細明體"/>
        <family val="1"/>
        <charset val="136"/>
      </rPr>
      <t>修繕更新碳排</t>
    </r>
    <phoneticPr fontId="9" type="noConversion"/>
  </si>
  <si>
    <t>屋頂防水隔熱工程(36.57)</t>
    <phoneticPr fontId="9" type="noConversion"/>
  </si>
  <si>
    <t>輕質灌漿牆(31.42)</t>
    <phoneticPr fontId="9" type="noConversion"/>
  </si>
  <si>
    <r>
      <t>RC</t>
    </r>
    <r>
      <rPr>
        <sz val="10"/>
        <color theme="1"/>
        <rFont val="新細明體"/>
        <family val="1"/>
        <charset val="136"/>
      </rPr>
      <t>隔間牆</t>
    </r>
    <r>
      <rPr>
        <sz val="10"/>
        <color theme="1"/>
        <rFont val="Times New Roman"/>
        <family val="1"/>
      </rPr>
      <t>(70.31)</t>
    </r>
    <phoneticPr fontId="9" type="noConversion"/>
  </si>
  <si>
    <r>
      <t>RC</t>
    </r>
    <r>
      <rPr>
        <sz val="10"/>
        <color theme="1"/>
        <rFont val="新細明體"/>
        <family val="1"/>
        <charset val="136"/>
      </rPr>
      <t>外牆貼磁磚</t>
    </r>
    <r>
      <rPr>
        <sz val="10"/>
        <color theme="1"/>
        <rFont val="Times New Roman"/>
        <family val="1"/>
      </rPr>
      <t>(9.05+21.2)</t>
    </r>
    <phoneticPr fontId="9" type="noConversion"/>
  </si>
  <si>
    <r>
      <t>RC</t>
    </r>
    <r>
      <rPr>
        <sz val="10"/>
        <color theme="1"/>
        <rFont val="細明體"/>
        <family val="3"/>
        <charset val="136"/>
      </rPr>
      <t>牆塗料外裝</t>
    </r>
    <r>
      <rPr>
        <sz val="10"/>
        <color theme="1"/>
        <rFont val="Times New Roman"/>
        <family val="1"/>
      </rPr>
      <t>(9.05+5.71)</t>
    </r>
    <phoneticPr fontId="9" type="noConversion"/>
  </si>
  <si>
    <t>貼磁磚地坪
(基層13.58) (表層21.2)</t>
    <phoneticPr fontId="9" type="noConversion"/>
  </si>
  <si>
    <t>貼磁磚地坪
(基層13.58)(表層21.2)</t>
    <phoneticPr fontId="9" type="noConversion"/>
  </si>
  <si>
    <r>
      <t>RC</t>
    </r>
    <r>
      <rPr>
        <sz val="10"/>
        <color theme="1"/>
        <rFont val="細明體"/>
        <family val="3"/>
        <charset val="136"/>
      </rPr>
      <t>底(66.71)+
抿石子(36.2)</t>
    </r>
    <phoneticPr fontId="9" type="noConversion"/>
  </si>
  <si>
    <r>
      <t>RC</t>
    </r>
    <r>
      <rPr>
        <sz val="10"/>
        <color theme="1"/>
        <rFont val="細明體"/>
        <family val="3"/>
        <charset val="136"/>
      </rPr>
      <t>底</t>
    </r>
    <r>
      <rPr>
        <sz val="10"/>
        <color theme="1"/>
        <rFont val="Times New Roman"/>
        <family val="1"/>
      </rPr>
      <t>(66.71)+</t>
    </r>
    <r>
      <rPr>
        <sz val="10"/>
        <color theme="1"/>
        <rFont val="細明體"/>
        <family val="3"/>
        <charset val="136"/>
      </rPr>
      <t>高壓磚</t>
    </r>
    <r>
      <rPr>
        <sz val="10"/>
        <color theme="1"/>
        <rFont val="Times New Roman"/>
        <family val="1"/>
      </rPr>
      <t>(84.55)</t>
    </r>
    <phoneticPr fontId="9" type="noConversion"/>
  </si>
  <si>
    <r>
      <t>RC</t>
    </r>
    <r>
      <rPr>
        <sz val="10"/>
        <color theme="1"/>
        <rFont val="細明體"/>
        <family val="3"/>
        <charset val="136"/>
      </rPr>
      <t>底(66.71)+
磁磚(48.28)</t>
    </r>
    <phoneticPr fontId="9" type="noConversion"/>
  </si>
  <si>
    <r>
      <t>RC</t>
    </r>
    <r>
      <rPr>
        <sz val="10"/>
        <color theme="1"/>
        <rFont val="細明體"/>
        <family val="3"/>
        <charset val="136"/>
      </rPr>
      <t>底(66.71)+
水泥粉刷(18.1)</t>
    </r>
    <phoneticPr fontId="9" type="noConversion"/>
  </si>
  <si>
    <t>RC基礎(66.71)+
貼磁磚地坪(48.28)</t>
    <phoneticPr fontId="9" type="noConversion"/>
  </si>
  <si>
    <t>所在位址</t>
    <phoneticPr fontId="9" type="noConversion"/>
  </si>
  <si>
    <t>負責人</t>
    <phoneticPr fontId="9" type="noConversion"/>
  </si>
  <si>
    <t>建築師</t>
    <phoneticPr fontId="9" type="noConversion"/>
  </si>
  <si>
    <r>
      <t>鋁框</t>
    </r>
    <r>
      <rPr>
        <sz val="10"/>
        <color theme="1"/>
        <rFont val="Times New Roman"/>
        <family val="1"/>
      </rPr>
      <t>+6+6mm</t>
    </r>
    <r>
      <rPr>
        <sz val="10"/>
        <color theme="1"/>
        <rFont val="新細明體"/>
        <family val="1"/>
        <charset val="136"/>
      </rPr>
      <t>玻璃</t>
    </r>
    <phoneticPr fontId="9" type="noConversion"/>
  </si>
  <si>
    <r>
      <t>鋁框</t>
    </r>
    <r>
      <rPr>
        <sz val="10"/>
        <color theme="1"/>
        <rFont val="Times New Roman"/>
        <family val="1"/>
      </rPr>
      <t>+5+5mm</t>
    </r>
    <r>
      <rPr>
        <sz val="10"/>
        <color theme="1"/>
        <rFont val="新細明體"/>
        <family val="1"/>
        <charset val="136"/>
      </rPr>
      <t>玻璃</t>
    </r>
    <phoneticPr fontId="9" type="noConversion"/>
  </si>
  <si>
    <t>ECIs=</t>
    <phoneticPr fontId="9" type="noConversion"/>
  </si>
  <si>
    <t>1~1+</t>
    <phoneticPr fontId="9" type="noConversion"/>
  </si>
  <si>
    <r>
      <t>非主結構資材</t>
    </r>
    <r>
      <rPr>
        <sz val="10"/>
        <color rgb="FF000000"/>
        <rFont val="Times New Roman"/>
        <family val="1"/>
      </rPr>
      <t>CFns</t>
    </r>
    <r>
      <rPr>
        <sz val="10"/>
        <color rgb="FF000000"/>
        <rFont val="新細明體"/>
        <family val="1"/>
        <charset val="136"/>
      </rPr>
      <t>小計</t>
    </r>
    <phoneticPr fontId="9" type="noConversion"/>
  </si>
  <si>
    <t>ΔCF=</t>
    <phoneticPr fontId="9" type="noConversion"/>
  </si>
  <si>
    <t>外牆外裝部分採塗料取代貼磁磚</t>
    <phoneticPr fontId="9" type="noConversion"/>
  </si>
  <si>
    <t>LL延壽相當減碳量=</t>
    <phoneticPr fontId="9" type="noConversion"/>
  </si>
  <si>
    <t>戶外地坪採用RC地坪+連鎖磚設計增碳</t>
    <phoneticPr fontId="9" type="noConversion"/>
  </si>
  <si>
    <t>Cfow</t>
    <phoneticPr fontId="9" type="noConversion"/>
  </si>
  <si>
    <t>等級</t>
  </si>
  <si>
    <r>
      <t>減碳率</t>
    </r>
    <r>
      <rPr>
        <sz val="10"/>
        <color rgb="FFFF0000"/>
        <rFont val="Times New Roman"/>
        <family val="1"/>
      </rPr>
      <t>CFR</t>
    </r>
    <r>
      <rPr>
        <sz val="10"/>
        <color rgb="FFFF0000"/>
        <rFont val="新細明體"/>
        <family val="1"/>
        <charset val="136"/>
      </rPr>
      <t>間距</t>
    </r>
  </si>
  <si>
    <r>
      <t>1+</t>
    </r>
    <r>
      <rPr>
        <sz val="10"/>
        <color rgb="FFFF0000"/>
        <rFont val="新細明體"/>
        <family val="1"/>
        <charset val="136"/>
      </rPr>
      <t>級</t>
    </r>
  </si>
  <si>
    <r>
      <t>20%</t>
    </r>
    <r>
      <rPr>
        <sz val="10"/>
        <color rgb="FFFF0000"/>
        <rFont val="新細明體"/>
        <family val="1"/>
        <charset val="136"/>
      </rPr>
      <t>＜</t>
    </r>
    <r>
      <rPr>
        <sz val="10"/>
        <color rgb="FFFF0000"/>
        <rFont val="Times New Roman"/>
        <family val="1"/>
      </rPr>
      <t>CFR</t>
    </r>
  </si>
  <si>
    <r>
      <t>1</t>
    </r>
    <r>
      <rPr>
        <sz val="10"/>
        <color rgb="FFFF0000"/>
        <rFont val="新細明體"/>
        <family val="1"/>
        <charset val="136"/>
      </rPr>
      <t>級</t>
    </r>
  </si>
  <si>
    <r>
      <t>16</t>
    </r>
    <r>
      <rPr>
        <sz val="10"/>
        <color rgb="FFFF0000"/>
        <rFont val="新細明體"/>
        <family val="1"/>
        <charset val="136"/>
      </rPr>
      <t>％＜</t>
    </r>
    <r>
      <rPr>
        <sz val="10"/>
        <color rgb="FFFF0000"/>
        <rFont val="Times New Roman"/>
        <family val="1"/>
      </rPr>
      <t>CFR</t>
    </r>
    <r>
      <rPr>
        <sz val="10"/>
        <color rgb="FFFF0000"/>
        <rFont val="新細明體"/>
        <family val="1"/>
        <charset val="136"/>
      </rPr>
      <t>≦</t>
    </r>
    <r>
      <rPr>
        <sz val="10"/>
        <color rgb="FFFF0000"/>
        <rFont val="Times New Roman"/>
        <family val="1"/>
      </rPr>
      <t>20</t>
    </r>
    <r>
      <rPr>
        <sz val="10"/>
        <color rgb="FFFF0000"/>
        <rFont val="新細明體"/>
        <family val="1"/>
        <charset val="136"/>
      </rPr>
      <t>％</t>
    </r>
  </si>
  <si>
    <r>
      <t>2</t>
    </r>
    <r>
      <rPr>
        <sz val="10"/>
        <color rgb="FFFF0000"/>
        <rFont val="新細明體"/>
        <family val="1"/>
        <charset val="136"/>
      </rPr>
      <t>級</t>
    </r>
  </si>
  <si>
    <r>
      <t>12</t>
    </r>
    <r>
      <rPr>
        <sz val="10"/>
        <color rgb="FFFF0000"/>
        <rFont val="新細明體"/>
        <family val="1"/>
        <charset val="136"/>
      </rPr>
      <t>％＜</t>
    </r>
    <r>
      <rPr>
        <sz val="10"/>
        <color rgb="FFFF0000"/>
        <rFont val="Times New Roman"/>
        <family val="1"/>
      </rPr>
      <t>CFR</t>
    </r>
    <r>
      <rPr>
        <sz val="10"/>
        <color rgb="FFFF0000"/>
        <rFont val="新細明體"/>
        <family val="1"/>
        <charset val="136"/>
      </rPr>
      <t>≦</t>
    </r>
    <r>
      <rPr>
        <sz val="10"/>
        <color rgb="FFFF0000"/>
        <rFont val="Times New Roman"/>
        <family val="1"/>
      </rPr>
      <t>16</t>
    </r>
    <r>
      <rPr>
        <sz val="10"/>
        <color rgb="FFFF0000"/>
        <rFont val="新細明體"/>
        <family val="1"/>
        <charset val="136"/>
      </rPr>
      <t>％</t>
    </r>
  </si>
  <si>
    <r>
      <t>3</t>
    </r>
    <r>
      <rPr>
        <sz val="10"/>
        <color rgb="FFFF0000"/>
        <rFont val="新細明體"/>
        <family val="1"/>
        <charset val="136"/>
      </rPr>
      <t>級</t>
    </r>
  </si>
  <si>
    <r>
      <t>8</t>
    </r>
    <r>
      <rPr>
        <sz val="10"/>
        <color rgb="FFFF0000"/>
        <rFont val="新細明體"/>
        <family val="1"/>
        <charset val="136"/>
      </rPr>
      <t>％＜</t>
    </r>
    <r>
      <rPr>
        <sz val="10"/>
        <color rgb="FFFF0000"/>
        <rFont val="Times New Roman"/>
        <family val="1"/>
      </rPr>
      <t>CFR</t>
    </r>
    <r>
      <rPr>
        <sz val="10"/>
        <color rgb="FFFF0000"/>
        <rFont val="新細明體"/>
        <family val="1"/>
        <charset val="136"/>
      </rPr>
      <t>≦</t>
    </r>
    <r>
      <rPr>
        <sz val="10"/>
        <color rgb="FFFF0000"/>
        <rFont val="Times New Roman"/>
        <family val="1"/>
      </rPr>
      <t>12</t>
    </r>
    <r>
      <rPr>
        <sz val="10"/>
        <color rgb="FFFF0000"/>
        <rFont val="新細明體"/>
        <family val="1"/>
        <charset val="136"/>
      </rPr>
      <t>％</t>
    </r>
  </si>
  <si>
    <r>
      <t>4</t>
    </r>
    <r>
      <rPr>
        <sz val="10"/>
        <color rgb="FFFF0000"/>
        <rFont val="新細明體"/>
        <family val="1"/>
        <charset val="136"/>
      </rPr>
      <t>級</t>
    </r>
  </si>
  <si>
    <r>
      <t>3</t>
    </r>
    <r>
      <rPr>
        <sz val="10"/>
        <color rgb="FFFF0000"/>
        <rFont val="新細明體"/>
        <family val="1"/>
        <charset val="136"/>
      </rPr>
      <t>％＜</t>
    </r>
    <r>
      <rPr>
        <sz val="10"/>
        <color rgb="FFFF0000"/>
        <rFont val="Times New Roman"/>
        <family val="1"/>
      </rPr>
      <t>CFR</t>
    </r>
    <r>
      <rPr>
        <sz val="10"/>
        <color rgb="FFFF0000"/>
        <rFont val="新細明體"/>
        <family val="1"/>
        <charset val="136"/>
      </rPr>
      <t>≦</t>
    </r>
    <r>
      <rPr>
        <sz val="10"/>
        <color rgb="FFFF0000"/>
        <rFont val="Times New Roman"/>
        <family val="1"/>
      </rPr>
      <t>8</t>
    </r>
    <r>
      <rPr>
        <sz val="10"/>
        <color rgb="FFFF0000"/>
        <rFont val="新細明體"/>
        <family val="1"/>
        <charset val="136"/>
      </rPr>
      <t>％</t>
    </r>
  </si>
  <si>
    <r>
      <t>5</t>
    </r>
    <r>
      <rPr>
        <sz val="10"/>
        <color rgb="FFFF0000"/>
        <rFont val="新細明體"/>
        <family val="1"/>
        <charset val="136"/>
      </rPr>
      <t>級</t>
    </r>
  </si>
  <si>
    <r>
      <t>-10</t>
    </r>
    <r>
      <rPr>
        <sz val="10"/>
        <color rgb="FFFF0000"/>
        <rFont val="新細明體"/>
        <family val="1"/>
        <charset val="136"/>
      </rPr>
      <t>％＜</t>
    </r>
    <r>
      <rPr>
        <sz val="10"/>
        <color rgb="FFFF0000"/>
        <rFont val="Times New Roman"/>
        <family val="1"/>
      </rPr>
      <t>CFR</t>
    </r>
    <r>
      <rPr>
        <sz val="10"/>
        <color rgb="FFFF0000"/>
        <rFont val="新細明體"/>
        <family val="1"/>
        <charset val="136"/>
      </rPr>
      <t>≦</t>
    </r>
    <r>
      <rPr>
        <sz val="10"/>
        <color rgb="FFFF0000"/>
        <rFont val="Times New Roman"/>
        <family val="1"/>
      </rPr>
      <t>3</t>
    </r>
    <r>
      <rPr>
        <sz val="10"/>
        <color rgb="FFFF0000"/>
        <rFont val="新細明體"/>
        <family val="1"/>
        <charset val="136"/>
      </rPr>
      <t>％</t>
    </r>
  </si>
  <si>
    <r>
      <t>6</t>
    </r>
    <r>
      <rPr>
        <sz val="10"/>
        <color rgb="FFFF0000"/>
        <rFont val="新細明體"/>
        <family val="1"/>
        <charset val="136"/>
      </rPr>
      <t>級</t>
    </r>
  </si>
  <si>
    <r>
      <t>-20</t>
    </r>
    <r>
      <rPr>
        <sz val="10"/>
        <color rgb="FFFF0000"/>
        <rFont val="新細明體"/>
        <family val="1"/>
        <charset val="136"/>
      </rPr>
      <t>％＜</t>
    </r>
    <r>
      <rPr>
        <sz val="10"/>
        <color rgb="FFFF0000"/>
        <rFont val="Times New Roman"/>
        <family val="1"/>
      </rPr>
      <t>CFR</t>
    </r>
    <r>
      <rPr>
        <sz val="10"/>
        <color rgb="FFFF0000"/>
        <rFont val="新細明體"/>
        <family val="1"/>
        <charset val="136"/>
      </rPr>
      <t>≦</t>
    </r>
    <r>
      <rPr>
        <sz val="10"/>
        <color rgb="FFFF0000"/>
        <rFont val="Times New Roman"/>
        <family val="1"/>
      </rPr>
      <t>-10</t>
    </r>
    <r>
      <rPr>
        <sz val="10"/>
        <color rgb="FFFF0000"/>
        <rFont val="新細明體"/>
        <family val="1"/>
        <charset val="136"/>
      </rPr>
      <t>％</t>
    </r>
  </si>
  <si>
    <r>
      <t>7</t>
    </r>
    <r>
      <rPr>
        <sz val="10"/>
        <color rgb="FFFF0000"/>
        <rFont val="新細明體"/>
        <family val="1"/>
        <charset val="136"/>
      </rPr>
      <t>級</t>
    </r>
  </si>
  <si>
    <r>
      <t>CFR</t>
    </r>
    <r>
      <rPr>
        <sz val="10"/>
        <color rgb="FFFF0000"/>
        <rFont val="新細明體"/>
        <family val="1"/>
        <charset val="136"/>
      </rPr>
      <t>≦</t>
    </r>
    <r>
      <rPr>
        <sz val="10"/>
        <color rgb="FFFF0000"/>
        <rFont val="Times New Roman"/>
        <family val="1"/>
      </rPr>
      <t>-20</t>
    </r>
    <r>
      <rPr>
        <sz val="10"/>
        <color rgb="FFFF0000"/>
        <rFont val="新細明體"/>
        <family val="1"/>
        <charset val="136"/>
      </rPr>
      <t>％</t>
    </r>
  </si>
  <si>
    <t>kgCO2</t>
    <phoneticPr fontId="9" type="noConversion"/>
  </si>
  <si>
    <t>新建</t>
    <phoneticPr fontId="9" type="noConversion"/>
  </si>
  <si>
    <t>修繕</t>
    <phoneticPr fontId="9" type="noConversion"/>
  </si>
  <si>
    <t>各分項工程新建與修繕碳排佔比構成圖</t>
  </si>
  <si>
    <t>分項工程新建與修繕碳足跡量比較圖</t>
  </si>
  <si>
    <t>設計案新建</t>
    <phoneticPr fontId="9" type="noConversion"/>
  </si>
  <si>
    <t>設計案修繕</t>
    <phoneticPr fontId="9" type="noConversion"/>
  </si>
  <si>
    <t>基準案新建</t>
    <phoneticPr fontId="9" type="noConversion"/>
  </si>
  <si>
    <t>基準案修繕</t>
    <phoneticPr fontId="9" type="noConversion"/>
  </si>
  <si>
    <t>設計案新建+修繕</t>
    <phoneticPr fontId="9" type="noConversion"/>
  </si>
  <si>
    <t>以下數值會自動帶入，請確認是否正確！</t>
    <phoneticPr fontId="9" type="noConversion"/>
  </si>
  <si>
    <t>室內總樓地板面積</t>
    <phoneticPr fontId="9" type="noConversion"/>
  </si>
  <si>
    <r>
      <t>ΔCF</t>
    </r>
    <r>
      <rPr>
        <sz val="12"/>
        <color theme="1"/>
        <rFont val="新細明體"/>
        <family val="1"/>
        <charset val="136"/>
      </rPr>
      <t>＝</t>
    </r>
    <r>
      <rPr>
        <sz val="12"/>
        <color theme="1"/>
        <rFont val="Times New Roman"/>
        <family val="1"/>
      </rPr>
      <t xml:space="preserve">  (</t>
    </r>
    <r>
      <rPr>
        <u/>
        <sz val="12"/>
        <color theme="1"/>
        <rFont val="Times New Roman"/>
        <family val="1"/>
      </rPr>
      <t>CFsc– CFs)</t>
    </r>
    <r>
      <rPr>
        <sz val="12"/>
        <color theme="1"/>
        <rFont val="Times New Roman"/>
        <family val="1"/>
      </rPr>
      <t xml:space="preserve"> </t>
    </r>
    <r>
      <rPr>
        <sz val="12"/>
        <color theme="1"/>
        <rFont val="新細明體"/>
        <family val="1"/>
        <charset val="136"/>
      </rPr>
      <t>＋</t>
    </r>
    <r>
      <rPr>
        <sz val="12"/>
        <color theme="1"/>
        <rFont val="Times New Roman"/>
        <family val="1"/>
      </rPr>
      <t xml:space="preserve">  </t>
    </r>
    <r>
      <rPr>
        <u/>
        <sz val="12"/>
        <color theme="1"/>
        <rFont val="Times New Roman"/>
        <family val="1"/>
      </rPr>
      <t>(ΔCFow</t>
    </r>
    <r>
      <rPr>
        <u/>
        <sz val="12"/>
        <color theme="1"/>
        <rFont val="新細明體"/>
        <family val="1"/>
        <charset val="136"/>
      </rPr>
      <t>＋</t>
    </r>
    <r>
      <rPr>
        <u/>
        <sz val="12"/>
        <color theme="1"/>
        <rFont val="Times New Roman"/>
        <family val="1"/>
      </rPr>
      <t>ΔCFw</t>
    </r>
    <r>
      <rPr>
        <u/>
        <sz val="12"/>
        <color theme="1"/>
        <rFont val="新細明體"/>
        <family val="1"/>
        <charset val="136"/>
      </rPr>
      <t>＋</t>
    </r>
    <r>
      <rPr>
        <u/>
        <sz val="12"/>
        <color theme="1"/>
        <rFont val="Times New Roman"/>
        <family val="1"/>
      </rPr>
      <t>ΔCFcw</t>
    </r>
    <r>
      <rPr>
        <u/>
        <sz val="12"/>
        <color theme="1"/>
        <rFont val="新細明體"/>
        <family val="1"/>
        <charset val="136"/>
      </rPr>
      <t>＋</t>
    </r>
    <r>
      <rPr>
        <u/>
        <sz val="12"/>
        <color theme="1"/>
        <rFont val="Times New Roman"/>
        <family val="1"/>
      </rPr>
      <t>ΔCFiw</t>
    </r>
    <r>
      <rPr>
        <u/>
        <sz val="12"/>
        <color theme="1"/>
        <rFont val="新細明體"/>
        <family val="1"/>
        <charset val="136"/>
      </rPr>
      <t>＋</t>
    </r>
    <r>
      <rPr>
        <u/>
        <sz val="12"/>
        <color theme="1"/>
        <rFont val="Times New Roman"/>
        <family val="1"/>
      </rPr>
      <t>ΔCFf</t>
    </r>
    <r>
      <rPr>
        <u/>
        <sz val="12"/>
        <color theme="1"/>
        <rFont val="新細明體"/>
        <family val="1"/>
        <charset val="136"/>
      </rPr>
      <t>＋</t>
    </r>
    <r>
      <rPr>
        <u/>
        <sz val="12"/>
        <color theme="1"/>
        <rFont val="Times New Roman"/>
        <family val="1"/>
      </rPr>
      <t xml:space="preserve">ΔCFp)–ΣRMk ×Rk-ΣLCRk ×Lk–ΣLCCm </t>
    </r>
    <phoneticPr fontId="9" type="noConversion"/>
  </si>
  <si>
    <t>10.低碳工法應用</t>
    <phoneticPr fontId="9" type="noConversion"/>
  </si>
  <si>
    <t>8.舊建材再利用減碳量</t>
    <phoneticPr fontId="9" type="noConversion"/>
  </si>
  <si>
    <t>單位量Rk(單位.)</t>
    <phoneticPr fontId="9" type="noConversion"/>
  </si>
  <si>
    <r>
      <t>舊建材再利用碳排標準RMk(kgCO</t>
    </r>
    <r>
      <rPr>
        <vertAlign val="subscript"/>
        <sz val="10"/>
        <color theme="1"/>
        <rFont val="新細明體"/>
        <family val="1"/>
        <charset val="136"/>
      </rPr>
      <t>2</t>
    </r>
    <r>
      <rPr>
        <sz val="10"/>
        <color theme="1"/>
        <rFont val="新細明體"/>
        <family val="1"/>
        <charset val="136"/>
      </rPr>
      <t>/單位)</t>
    </r>
    <phoneticPr fontId="9" type="noConversion"/>
  </si>
  <si>
    <t>註1：RMk為採用舊建材、舊構件的減碳量，由申請者依ABRI 碳足跡資料庫標準換算認定為該建材、構件的減碳量
註2：若無舊建材再利用則不必檢討</t>
    <phoneticPr fontId="9" type="noConversion"/>
  </si>
  <si>
    <t>9.低碳循環建材減碳量</t>
    <phoneticPr fontId="9" type="noConversion"/>
  </si>
  <si>
    <t>註1：LCRk為低碳循環減碳量，為具有實質減碳效益的再利用、再循環、再生建材或因製程改善而有實質減碳效益且經 ABRI 指定評定機構認證通過之建材減碳量。
註2：若無低碳循環建材不必檢討</t>
    <phoneticPr fontId="9" type="noConversion"/>
  </si>
  <si>
    <r>
      <rPr>
        <sz val="10"/>
        <color theme="1"/>
        <rFont val="新細明體"/>
        <family val="1"/>
        <charset val="136"/>
      </rPr>
      <t>註</t>
    </r>
    <r>
      <rPr>
        <sz val="10"/>
        <color theme="1"/>
        <rFont val="Times New Roman"/>
        <family val="1"/>
      </rPr>
      <t>1</t>
    </r>
    <r>
      <rPr>
        <sz val="10"/>
        <color theme="1"/>
        <rFont val="新細明體"/>
        <family val="1"/>
        <charset val="136"/>
      </rPr>
      <t>：</t>
    </r>
    <r>
      <rPr>
        <sz val="10"/>
        <color theme="1"/>
        <rFont val="Times New Roman"/>
        <family val="1"/>
      </rPr>
      <t>LCCm: m</t>
    </r>
    <r>
      <rPr>
        <sz val="10"/>
        <color theme="1"/>
        <rFont val="新細明體"/>
        <family val="1"/>
        <charset val="136"/>
      </rPr>
      <t>低碳工法減碳量</t>
    </r>
    <r>
      <rPr>
        <sz val="10"/>
        <color theme="1"/>
        <rFont val="Times New Roman"/>
        <family val="1"/>
      </rPr>
      <t>(kgCO</t>
    </r>
    <r>
      <rPr>
        <vertAlign val="subscript"/>
        <sz val="10"/>
        <color theme="1"/>
        <rFont val="Times New Roman"/>
        <family val="1"/>
      </rPr>
      <t>2</t>
    </r>
    <r>
      <rPr>
        <sz val="10"/>
        <color theme="1"/>
        <rFont val="Times New Roman"/>
        <family val="1"/>
      </rPr>
      <t>)</t>
    </r>
    <r>
      <rPr>
        <sz val="10"/>
        <color theme="1"/>
        <rFont val="新細明體"/>
        <family val="1"/>
        <charset val="136"/>
      </rPr>
      <t>，為具有實質減碳效益且經</t>
    </r>
    <r>
      <rPr>
        <sz val="10"/>
        <color theme="1"/>
        <rFont val="Times New Roman"/>
        <family val="1"/>
      </rPr>
      <t xml:space="preserve"> ABRI </t>
    </r>
    <r>
      <rPr>
        <sz val="10"/>
        <color theme="1"/>
        <rFont val="新細明體"/>
        <family val="1"/>
        <charset val="136"/>
      </rPr>
      <t>指定評定機構認證通過的工法減碳量。減碳量以正值標示之，由</t>
    </r>
    <r>
      <rPr>
        <sz val="10"/>
        <color theme="1"/>
        <rFont val="Times New Roman"/>
        <family val="1"/>
      </rPr>
      <t xml:space="preserve"> ABRI </t>
    </r>
    <r>
      <rPr>
        <sz val="10"/>
        <color theme="1"/>
        <rFont val="新細明體"/>
        <family val="1"/>
        <charset val="136"/>
      </rPr>
      <t>另立低碳工法認定辦法，由申請方向</t>
    </r>
    <r>
      <rPr>
        <sz val="10"/>
        <color theme="1"/>
        <rFont val="Times New Roman"/>
        <family val="1"/>
      </rPr>
      <t xml:space="preserve">ABRI </t>
    </r>
    <r>
      <rPr>
        <sz val="10"/>
        <color theme="1"/>
        <rFont val="新細明體"/>
        <family val="1"/>
        <charset val="136"/>
      </rPr>
      <t>指定評定機構申請認定之</t>
    </r>
    <r>
      <rPr>
        <sz val="10"/>
        <color theme="1"/>
        <rFont val="Times New Roman"/>
        <family val="1"/>
      </rPr>
      <t xml:space="preserve"> </t>
    </r>
    <r>
      <rPr>
        <sz val="10"/>
        <color theme="1"/>
        <rFont val="新細明體"/>
        <family val="1"/>
        <charset val="136"/>
      </rPr>
      <t>，請檢附證明文件
註</t>
    </r>
    <r>
      <rPr>
        <sz val="10"/>
        <color theme="1"/>
        <rFont val="Times New Roman"/>
        <family val="1"/>
      </rPr>
      <t>2</t>
    </r>
    <r>
      <rPr>
        <sz val="10"/>
        <color theme="1"/>
        <rFont val="新細明體"/>
        <family val="1"/>
        <charset val="136"/>
      </rPr>
      <t>：若無採用低碳工法不必檢討</t>
    </r>
    <phoneticPr fontId="9" type="noConversion"/>
  </si>
  <si>
    <r>
      <t>CFcw</t>
    </r>
    <r>
      <rPr>
        <sz val="10"/>
        <color rgb="FF000000"/>
        <rFont val="新細明體"/>
        <family val="1"/>
        <charset val="136"/>
      </rPr>
      <t>新建碳排</t>
    </r>
    <phoneticPr fontId="9" type="noConversion"/>
  </si>
  <si>
    <r>
      <t>CFcw*</t>
    </r>
    <r>
      <rPr>
        <sz val="10"/>
        <color rgb="FF000000"/>
        <rFont val="新細明體"/>
        <family val="1"/>
        <charset val="136"/>
      </rPr>
      <t>修繕更新碳排</t>
    </r>
    <phoneticPr fontId="9" type="noConversion"/>
  </si>
  <si>
    <r>
      <t>CFp</t>
    </r>
    <r>
      <rPr>
        <sz val="10"/>
        <color rgb="FF000000"/>
        <rFont val="新細明體"/>
        <family val="1"/>
        <charset val="136"/>
      </rPr>
      <t>新建碳排</t>
    </r>
    <phoneticPr fontId="9" type="noConversion"/>
  </si>
  <si>
    <r>
      <t>CFp*</t>
    </r>
    <r>
      <rPr>
        <sz val="10"/>
        <color rgb="FF000000"/>
        <rFont val="新細明體"/>
        <family val="1"/>
        <charset val="136"/>
      </rPr>
      <t>修繕更新碳排</t>
    </r>
    <phoneticPr fontId="9" type="noConversion"/>
  </si>
  <si>
    <t>地下樓層數Sb(層)</t>
    <phoneticPr fontId="9" type="noConversion"/>
  </si>
  <si>
    <t>需填入及確認的參數</t>
  </si>
  <si>
    <t>需填入及確認的參數</t>
    <phoneticPr fontId="9" type="noConversion"/>
  </si>
  <si>
    <t>4.W構造係數( P29)</t>
  </si>
  <si>
    <r>
      <t>(m</t>
    </r>
    <r>
      <rPr>
        <vertAlign val="superscript"/>
        <sz val="11"/>
        <color rgb="FFFF0000"/>
        <rFont val="Times New Roman"/>
        <family val="1"/>
      </rPr>
      <t>2</t>
    </r>
    <r>
      <rPr>
        <sz val="11"/>
        <color rgb="FFFF0000"/>
        <rFont val="Times New Roman"/>
        <family val="1"/>
      </rPr>
      <t>)</t>
    </r>
  </si>
  <si>
    <r>
      <t>地上樓層數</t>
    </r>
    <r>
      <rPr>
        <sz val="11"/>
        <color rgb="FFFF0000"/>
        <rFont val="Times New Roman"/>
        <family val="1"/>
      </rPr>
      <t>(</t>
    </r>
    <r>
      <rPr>
        <sz val="11"/>
        <color rgb="FFFF0000"/>
        <rFont val="新細明體"/>
        <family val="1"/>
        <charset val="136"/>
      </rPr>
      <t>層</t>
    </r>
    <r>
      <rPr>
        <sz val="11"/>
        <color rgb="FFFF0000"/>
        <rFont val="Times New Roman"/>
        <family val="1"/>
      </rPr>
      <t>)</t>
    </r>
    <phoneticPr fontId="9" type="noConversion"/>
  </si>
  <si>
    <r>
      <t>地下樓層數</t>
    </r>
    <r>
      <rPr>
        <sz val="11"/>
        <color rgb="FFFF0000"/>
        <rFont val="Times New Roman"/>
        <family val="1"/>
      </rPr>
      <t>(</t>
    </r>
    <r>
      <rPr>
        <sz val="11"/>
        <color rgb="FFFF0000"/>
        <rFont val="新細明體"/>
        <family val="1"/>
        <charset val="136"/>
      </rPr>
      <t>層</t>
    </r>
    <r>
      <rPr>
        <sz val="11"/>
        <color rgb="FFFF0000"/>
        <rFont val="Times New Roman"/>
        <family val="1"/>
      </rPr>
      <t>)</t>
    </r>
    <phoneticPr fontId="9" type="noConversion"/>
  </si>
  <si>
    <t>大項</t>
  </si>
  <si>
    <t>延壽條件LLi</t>
  </si>
  <si>
    <r>
      <t>建築延壽優惠係數LL*</t>
    </r>
    <r>
      <rPr>
        <vertAlign val="superscript"/>
        <sz val="12"/>
        <color rgb="FF000000"/>
        <rFont val="微軟正黑體"/>
        <family val="2"/>
        <charset val="136"/>
      </rPr>
      <t>1</t>
    </r>
  </si>
  <si>
    <t>檢核</t>
  </si>
  <si>
    <t>耐久設計</t>
  </si>
  <si>
    <t>1.RC柱樑與RC樓板兩者均完全無埋設管線者</t>
  </si>
  <si>
    <t>□</t>
  </si>
  <si>
    <t>2.RC柱樑與RC樓板兩者之一完全無埋設管線者</t>
  </si>
  <si>
    <t>高品質施工</t>
  </si>
  <si>
    <t>3.獲ISO14000認證或五年內獲行政院、直轄市工程品質金質獎之優良營造廠者</t>
  </si>
  <si>
    <t>■</t>
  </si>
  <si>
    <t>4.五年內獲各縣市政府工程品質金質獎或獲國家建設金質獎之優良營造廠者</t>
  </si>
  <si>
    <t>LL=</t>
  </si>
  <si>
    <r>
      <t>*</t>
    </r>
    <r>
      <rPr>
        <vertAlign val="superscript"/>
        <sz val="12"/>
        <color rgb="FF000000"/>
        <rFont val="微軟正黑體"/>
        <family val="2"/>
        <charset val="136"/>
      </rPr>
      <t>1</t>
    </r>
    <r>
      <rPr>
        <sz val="12"/>
        <color rgb="FF000000"/>
        <rFont val="微軟正黑體"/>
        <family val="2"/>
        <charset val="136"/>
      </rPr>
      <t>:1.2.兩項之一與3.4.兩項之一可累加計算，3.4.兩項不能累加計算</t>
    </r>
  </si>
  <si>
    <t>以下數值會自動帶入，請確認是否正確！若有其他減碳量請自行輸入</t>
    <phoneticPr fontId="9" type="noConversion"/>
  </si>
  <si>
    <t>主地面層樓高BH</t>
    <phoneticPr fontId="9" type="noConversion"/>
  </si>
  <si>
    <t>(m)</t>
  </si>
  <si>
    <t>地下樓地板面積</t>
    <phoneticPr fontId="9" type="noConversion"/>
  </si>
  <si>
    <t>設計案</t>
    <phoneticPr fontId="9" type="noConversion"/>
  </si>
  <si>
    <t>內部隔間D0</t>
    <phoneticPr fontId="9" type="noConversion"/>
  </si>
  <si>
    <t>(kg/㎡)</t>
  </si>
  <si>
    <t>W構造係數</t>
    <phoneticPr fontId="9" type="noConversion"/>
  </si>
  <si>
    <t>(m2)</t>
  </si>
  <si>
    <t>不分</t>
    <phoneticPr fontId="9" type="noConversion"/>
  </si>
  <si>
    <r>
      <t>新建與拆除廢棄物量密度（</t>
    </r>
    <r>
      <rPr>
        <sz val="10"/>
        <color theme="1"/>
        <rFont val="Times New Roman"/>
        <family val="1"/>
      </rPr>
      <t>kg/m</t>
    </r>
    <r>
      <rPr>
        <vertAlign val="superscript"/>
        <sz val="10"/>
        <color theme="1"/>
        <rFont val="Times New Roman"/>
        <family val="1"/>
      </rPr>
      <t>2</t>
    </r>
    <r>
      <rPr>
        <sz val="10"/>
        <color theme="1"/>
        <rFont val="新細明體"/>
        <family val="1"/>
        <charset val="136"/>
        <scheme val="minor"/>
      </rPr>
      <t>），取自表</t>
    </r>
    <r>
      <rPr>
        <sz val="10"/>
        <color theme="1"/>
        <rFont val="Times New Roman"/>
        <family val="1"/>
      </rPr>
      <t>7</t>
    </r>
    <phoneticPr fontId="9" type="noConversion"/>
  </si>
  <si>
    <t>地上樓層數(層)</t>
    <phoneticPr fontId="9" type="noConversion"/>
  </si>
  <si>
    <t>地下樓層數(層)</t>
    <phoneticPr fontId="9" type="noConversion"/>
  </si>
  <si>
    <t>建築延壽優惠係數LL</t>
    <phoneticPr fontId="9" type="noConversion"/>
  </si>
  <si>
    <t>系統平台由使用者選擇</t>
    <phoneticPr fontId="9" type="noConversion"/>
  </si>
  <si>
    <t>表2</t>
    <phoneticPr fontId="9" type="noConversion"/>
  </si>
  <si>
    <t>表7</t>
    <phoneticPr fontId="9" type="noConversion"/>
  </si>
  <si>
    <t>bim模型取得</t>
    <phoneticPr fontId="9" type="noConversion"/>
  </si>
  <si>
    <t>同基準案</t>
    <phoneticPr fontId="9" type="noConversion"/>
  </si>
  <si>
    <t>1、2：bim模型取得(待確認)
3、4：系統平台由使用者選擇</t>
    <phoneticPr fontId="9" type="noConversion"/>
  </si>
  <si>
    <t>表10</t>
    <phoneticPr fontId="9" type="noConversion"/>
  </si>
  <si>
    <t>系統列出規範，使用者自行判斷</t>
    <phoneticPr fontId="9" type="noConversion"/>
  </si>
  <si>
    <t>https://law.moj.gov.tw/LawClass/LawSingle.aspx?pcode=D0070116&amp;flno=17</t>
  </si>
  <si>
    <t>kgf/m2</t>
    <phoneticPr fontId="9" type="noConversion"/>
  </si>
  <si>
    <t>系統平台由使用者自己填寫(結構技師)</t>
    <phoneticPr fontId="9" type="noConversion"/>
  </si>
  <si>
    <t>碳排密度ECI=EEC/AFu=</t>
    <phoneticPr fontId="9" type="noConversion"/>
  </si>
  <si>
    <r>
      <t>ΔCF (kgCO</t>
    </r>
    <r>
      <rPr>
        <vertAlign val="subscript"/>
        <sz val="10"/>
        <color theme="1"/>
        <rFont val="微軟正黑體"/>
        <family val="2"/>
        <charset val="136"/>
      </rPr>
      <t>2</t>
    </r>
    <r>
      <rPr>
        <sz val="10"/>
        <color theme="1"/>
        <rFont val="微軟正黑體"/>
        <family val="2"/>
        <charset val="136"/>
      </rPr>
      <t>)</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</si>
</sst>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76" formatCode="0.00_);[Red]\(0.00\)"/>
    <numFmt numFmtId="177" formatCode="_-* #,##0_-;\-* #,##0_-;_-* &quot;-&quot;??_-;_-@_-"/>
    <numFmt numFmtId="178" formatCode="0.0"/>
    <numFmt numFmtId="179" formatCode="_-* #,##0.0_-;\-* #,##0.0_-;_-* &quot;-&quot;??_-;_-@_-"/>
    <numFmt numFmtId="180" formatCode="#,##0.0"/>
    <numFmt numFmtId="181" formatCode="0.000"/>
    <numFmt numFmtId="182" formatCode="0.0%"/>
    <numFmt numFmtId="183" formatCode="0.000%"/>
  </numFmts>
  <fonts count="67">
    <font>
      <sz val="11"/>
      <color theme="1"/>
      <name val="新細明體"/>
      <family val="2"/>
      <scheme val="minor"/>
    </font>
    <font>
      <sz val="11"/>
      <color theme="1"/>
      <name val="新細明體"/>
      <family val="2"/>
      <scheme val="minor"/>
    </font>
    <font>
      <sz val="11"/>
      <color theme="1"/>
      <name val="Times New Roman"/>
      <family val="1"/>
    </font>
    <font>
      <sz val="12"/>
      <color theme="1"/>
      <name val="新細明體"/>
      <family val="1"/>
      <charset val="136"/>
    </font>
    <font>
      <sz val="11"/>
      <color theme="1"/>
      <name val="新細明體"/>
      <family val="1"/>
      <charset val="136"/>
    </font>
    <font>
      <vertAlign val="superscript"/>
      <sz val="11"/>
      <color theme="1"/>
      <name val="Times New Roman"/>
      <family val="1"/>
    </font>
    <font>
      <vertAlign val="subscript"/>
      <sz val="11"/>
      <color theme="1"/>
      <name val="Times New Roman"/>
      <family val="1"/>
    </font>
    <font>
      <sz val="11"/>
      <color theme="1"/>
      <name val="微軟正黑體"/>
      <family val="2"/>
      <charset val="136"/>
    </font>
    <font>
      <sz val="11"/>
      <color rgb="FF000000"/>
      <name val="新細明體"/>
      <family val="1"/>
      <charset val="136"/>
    </font>
    <font>
      <sz val="9"/>
      <name val="新細明體"/>
      <family val="3"/>
      <charset val="136"/>
      <scheme val="minor"/>
    </font>
    <font>
      <b/>
      <sz val="12"/>
      <color theme="1"/>
      <name val="新細明體"/>
      <family val="1"/>
      <charset val="136"/>
    </font>
    <font>
      <b/>
      <sz val="12"/>
      <color theme="1"/>
      <name val="Times New Roman"/>
      <family val="1"/>
    </font>
    <font>
      <b/>
      <sz val="14"/>
      <color theme="1"/>
      <name val="Times New Roman"/>
      <family val="1"/>
    </font>
    <font>
      <b/>
      <vertAlign val="superscript"/>
      <sz val="12"/>
      <color theme="1"/>
      <name val="Times New Roman"/>
      <family val="1"/>
    </font>
    <font>
      <b/>
      <sz val="14"/>
      <color theme="1"/>
      <name val="微軟正黑體"/>
      <family val="2"/>
      <charset val="136"/>
    </font>
    <font>
      <sz val="11"/>
      <color theme="1"/>
      <name val="細明體"/>
      <family val="3"/>
      <charset val="136"/>
    </font>
    <font>
      <sz val="10"/>
      <color theme="1"/>
      <name val="新細明體"/>
      <family val="1"/>
      <charset val="136"/>
    </font>
    <font>
      <sz val="10"/>
      <color theme="1"/>
      <name val="Times New Roman"/>
      <family val="1"/>
    </font>
    <font>
      <sz val="12"/>
      <color theme="1"/>
      <name val="新細明體"/>
      <family val="1"/>
      <charset val="136"/>
      <scheme val="minor"/>
    </font>
    <font>
      <sz val="9"/>
      <name val="新細明體"/>
      <family val="2"/>
      <charset val="136"/>
      <scheme val="minor"/>
    </font>
    <font>
      <sz val="10"/>
      <color theme="1"/>
      <name val="微軟正黑體"/>
      <family val="2"/>
      <charset val="136"/>
    </font>
    <font>
      <sz val="10"/>
      <color theme="1"/>
      <name val="細明體"/>
      <family val="3"/>
      <charset val="136"/>
    </font>
    <font>
      <sz val="12"/>
      <color theme="1"/>
      <name val="微軟正黑體"/>
      <family val="2"/>
      <charset val="136"/>
    </font>
    <font>
      <sz val="10"/>
      <color rgb="FFFF0000"/>
      <name val="微軟正黑體"/>
      <family val="2"/>
      <charset val="136"/>
    </font>
    <font>
      <b/>
      <sz val="10"/>
      <color theme="1"/>
      <name val="微軟正黑體"/>
      <family val="2"/>
      <charset val="136"/>
    </font>
    <font>
      <sz val="12"/>
      <color theme="1"/>
      <name val="Times New Roman"/>
      <family val="1"/>
    </font>
    <font>
      <b/>
      <sz val="11"/>
      <color theme="1"/>
      <name val="微軟正黑體"/>
      <family val="2"/>
      <charset val="136"/>
    </font>
    <font>
      <vertAlign val="subscript"/>
      <sz val="12"/>
      <color theme="1"/>
      <name val="微軟正黑體"/>
      <family val="2"/>
      <charset val="136"/>
    </font>
    <font>
      <sz val="10"/>
      <color rgb="FF000000"/>
      <name val="微軟正黑體"/>
      <family val="2"/>
      <charset val="136"/>
    </font>
    <font>
      <sz val="10"/>
      <color theme="1"/>
      <name val="新細明體"/>
      <family val="1"/>
      <charset val="136"/>
      <scheme val="minor"/>
    </font>
    <font>
      <sz val="10"/>
      <color rgb="FF000000"/>
      <name val="新細明體"/>
      <family val="1"/>
      <charset val="136"/>
    </font>
    <font>
      <sz val="10"/>
      <color rgb="FF000000"/>
      <name val="Times New Roman"/>
      <family val="1"/>
    </font>
    <font>
      <vertAlign val="subscript"/>
      <sz val="10"/>
      <color rgb="FF000000"/>
      <name val="Times New Roman"/>
      <family val="1"/>
    </font>
    <font>
      <vertAlign val="superscript"/>
      <sz val="10"/>
      <color theme="1"/>
      <name val="Times New Roman"/>
      <family val="1"/>
    </font>
    <font>
      <vertAlign val="subscript"/>
      <sz val="10"/>
      <color theme="1"/>
      <name val="Times New Roman"/>
      <family val="1"/>
    </font>
    <font>
      <vertAlign val="subscript"/>
      <sz val="10"/>
      <color theme="1"/>
      <name val="微軟正黑體"/>
      <family val="2"/>
      <charset val="136"/>
    </font>
    <font>
      <u/>
      <sz val="12"/>
      <color theme="1"/>
      <name val="Times New Roman"/>
      <family val="1"/>
    </font>
    <font>
      <u/>
      <sz val="12"/>
      <color theme="1"/>
      <name val="新細明體"/>
      <family val="1"/>
      <charset val="136"/>
    </font>
    <font>
      <b/>
      <sz val="16"/>
      <color theme="1"/>
      <name val="微軟正黑體"/>
      <family val="2"/>
      <charset val="136"/>
    </font>
    <font>
      <sz val="10"/>
      <color theme="1"/>
      <name val="Times New Roman"/>
      <family val="1"/>
      <charset val="136"/>
    </font>
    <font>
      <sz val="10"/>
      <color rgb="FF000000"/>
      <name val="細明體"/>
      <family val="3"/>
      <charset val="136"/>
    </font>
    <font>
      <sz val="10"/>
      <color rgb="FF000000"/>
      <name val="Times New Roman"/>
      <family val="3"/>
      <charset val="136"/>
    </font>
    <font>
      <b/>
      <sz val="11"/>
      <color theme="1"/>
      <name val="新細明體"/>
      <family val="1"/>
      <charset val="136"/>
      <scheme val="minor"/>
    </font>
    <font>
      <sz val="10"/>
      <name val="微軟正黑體"/>
      <family val="2"/>
      <charset val="136"/>
    </font>
    <font>
      <b/>
      <sz val="14"/>
      <color theme="1"/>
      <name val="細明體"/>
      <family val="3"/>
      <charset val="136"/>
    </font>
    <font>
      <b/>
      <sz val="12"/>
      <color theme="1"/>
      <name val="細明體"/>
      <family val="3"/>
      <charset val="136"/>
    </font>
    <font>
      <b/>
      <sz val="14"/>
      <color theme="1"/>
      <name val="Times New Roman"/>
      <family val="3"/>
      <charset val="136"/>
    </font>
    <font>
      <vertAlign val="subscript"/>
      <sz val="10"/>
      <color theme="1"/>
      <name val="新細明體"/>
      <family val="1"/>
      <charset val="136"/>
    </font>
    <font>
      <sz val="10"/>
      <color rgb="FFFF0000"/>
      <name val="Times New Roman"/>
      <family val="1"/>
    </font>
    <font>
      <sz val="10"/>
      <color rgb="FFFF0000"/>
      <name val="新細明體"/>
      <family val="1"/>
      <charset val="136"/>
    </font>
    <font>
      <b/>
      <sz val="14"/>
      <color rgb="FF0070C0"/>
      <name val="新細明體"/>
      <family val="1"/>
      <charset val="136"/>
      <scheme val="minor"/>
    </font>
    <font>
      <sz val="11"/>
      <color theme="9"/>
      <name val="新細明體"/>
      <family val="2"/>
      <scheme val="minor"/>
    </font>
    <font>
      <sz val="11"/>
      <color theme="9"/>
      <name val="Times New Roman"/>
      <family val="1"/>
    </font>
    <font>
      <b/>
      <sz val="11"/>
      <color rgb="FFFF0000"/>
      <name val="華康中黑體"/>
      <family val="3"/>
      <charset val="136"/>
    </font>
    <font>
      <b/>
      <sz val="16"/>
      <color rgb="FFFF0000"/>
      <name val="華康中黑體"/>
      <family val="3"/>
      <charset val="136"/>
    </font>
    <font>
      <sz val="10"/>
      <color theme="9" tint="-0.249977111117893"/>
      <name val="微軟正黑體"/>
      <family val="2"/>
      <charset val="136"/>
    </font>
    <font>
      <sz val="11"/>
      <color rgb="FFFF0000"/>
      <name val="微軟正黑體"/>
      <family val="2"/>
      <charset val="136"/>
    </font>
    <font>
      <sz val="12"/>
      <color rgb="FFFF0000"/>
      <name val="Calibri"/>
      <family val="2"/>
    </font>
    <font>
      <sz val="12"/>
      <color rgb="FFFF0000"/>
      <name val="新細明體"/>
      <family val="1"/>
      <charset val="136"/>
    </font>
    <font>
      <sz val="11"/>
      <color rgb="FFFF0000"/>
      <name val="細明體"/>
      <family val="3"/>
      <charset val="136"/>
    </font>
    <font>
      <sz val="11"/>
      <color rgb="FFFF0000"/>
      <name val="Times New Roman"/>
      <family val="1"/>
    </font>
    <font>
      <sz val="11"/>
      <color rgb="FFFF0000"/>
      <name val="新細明體"/>
      <family val="1"/>
      <charset val="136"/>
    </font>
    <font>
      <sz val="11"/>
      <color rgb="FFFF0000"/>
      <name val="新細明體"/>
      <family val="2"/>
      <scheme val="minor"/>
    </font>
    <font>
      <vertAlign val="superscript"/>
      <sz val="11"/>
      <color rgb="FFFF0000"/>
      <name val="Times New Roman"/>
      <family val="1"/>
    </font>
    <font>
      <sz val="12"/>
      <color rgb="FF000000"/>
      <name val="微軟正黑體"/>
      <family val="2"/>
      <charset val="136"/>
    </font>
    <font>
      <vertAlign val="superscript"/>
      <sz val="12"/>
      <color rgb="FF000000"/>
      <name val="微軟正黑體"/>
      <family val="2"/>
      <charset val="136"/>
    </font>
    <font>
      <sz val="11"/>
      <name val="微軟正黑體"/>
      <family val="2"/>
      <charset val="136"/>
    </font>
  </fonts>
  <fills count="13">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D9D9D9"/>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FF2CC"/>
        <bgColor indexed="64"/>
      </patternFill>
    </fill>
    <fill>
      <patternFill patternType="solid">
        <fgColor theme="8" tint="0.79998168889431442"/>
        <bgColor indexed="64"/>
      </patternFill>
    </fill>
    <fill>
      <patternFill patternType="solid">
        <fgColor theme="7" tint="0.79998168889431442"/>
        <bgColor indexed="64"/>
      </patternFill>
    </fill>
  </fills>
  <borders count="69">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bottom style="medium">
        <color indexed="64"/>
      </bottom>
      <diagonal/>
    </border>
    <border>
      <left style="medium">
        <color theme="2" tint="-0.499984740745262"/>
      </left>
      <right style="medium">
        <color theme="2" tint="-0.499984740745262"/>
      </right>
      <top style="medium">
        <color theme="2" tint="-0.499984740745262"/>
      </top>
      <bottom style="medium">
        <color theme="2" tint="-0.499984740745262"/>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medium">
        <color theme="2" tint="-0.249977111117893"/>
      </left>
      <right style="medium">
        <color theme="2" tint="-0.249977111117893"/>
      </right>
      <top style="medium">
        <color theme="2" tint="-0.249977111117893"/>
      </top>
      <bottom style="medium">
        <color theme="2" tint="-0.249977111117893"/>
      </bottom>
      <diagonal/>
    </border>
    <border>
      <left style="medium">
        <color theme="2" tint="-0.249977111117893"/>
      </left>
      <right style="medium">
        <color theme="2" tint="-0.249977111117893"/>
      </right>
      <top/>
      <bottom style="medium">
        <color theme="2" tint="-0.249977111117893"/>
      </bottom>
      <diagonal/>
    </border>
    <border>
      <left style="medium">
        <color theme="1"/>
      </left>
      <right style="medium">
        <color theme="1"/>
      </right>
      <top style="medium">
        <color theme="1"/>
      </top>
      <bottom style="medium">
        <color theme="1"/>
      </bottom>
      <diagonal/>
    </border>
    <border>
      <left/>
      <right/>
      <top style="medium">
        <color indexed="64"/>
      </top>
      <bottom style="medium">
        <color indexed="64"/>
      </bottom>
      <diagonal/>
    </border>
    <border>
      <left style="medium">
        <color theme="2" tint="-0.249977111117893"/>
      </left>
      <right/>
      <top/>
      <bottom/>
      <diagonal/>
    </border>
    <border>
      <left style="medium">
        <color theme="2" tint="-0.249977111117893"/>
      </left>
      <right style="medium">
        <color theme="2" tint="-0.249977111117893"/>
      </right>
      <top style="medium">
        <color theme="2" tint="-0.249977111117893"/>
      </top>
      <bottom/>
      <diagonal/>
    </border>
    <border>
      <left style="medium">
        <color theme="2" tint="-0.249977111117893"/>
      </left>
      <right/>
      <top style="medium">
        <color theme="2" tint="-0.249977111117893"/>
      </top>
      <bottom style="medium">
        <color theme="2" tint="-0.249977111117893"/>
      </bottom>
      <diagonal/>
    </border>
    <border>
      <left/>
      <right/>
      <top style="medium">
        <color theme="2" tint="-0.249977111117893"/>
      </top>
      <bottom style="medium">
        <color theme="2" tint="-0.249977111117893"/>
      </bottom>
      <diagonal/>
    </border>
    <border>
      <left/>
      <right style="medium">
        <color theme="2" tint="-0.249977111117893"/>
      </right>
      <top style="medium">
        <color theme="2" tint="-0.249977111117893"/>
      </top>
      <bottom style="medium">
        <color theme="2" tint="-0.249977111117893"/>
      </bottom>
      <diagonal/>
    </border>
    <border>
      <left/>
      <right style="medium">
        <color indexed="64"/>
      </right>
      <top/>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diagonalUp="1">
      <left/>
      <right style="medium">
        <color indexed="64"/>
      </right>
      <top/>
      <bottom style="medium">
        <color indexed="64"/>
      </bottom>
      <diagonal style="thin">
        <color indexed="64"/>
      </diagonal>
    </border>
    <border diagonalUp="1">
      <left style="medium">
        <color indexed="64"/>
      </left>
      <right style="medium">
        <color indexed="64"/>
      </right>
      <top style="medium">
        <color indexed="64"/>
      </top>
      <bottom style="medium">
        <color indexed="64"/>
      </bottom>
      <diagonal style="thin">
        <color indexed="64"/>
      </diagonal>
    </border>
    <border>
      <left/>
      <right/>
      <top style="medium">
        <color theme="2" tint="-0.249977111117893"/>
      </top>
      <bottom/>
      <diagonal/>
    </border>
    <border>
      <left/>
      <right style="medium">
        <color theme="2" tint="-0.249977111117893"/>
      </right>
      <top style="medium">
        <color theme="2" tint="-0.249977111117893"/>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8" tint="0.39997558519241921"/>
      </left>
      <right style="thin">
        <color theme="8" tint="0.39997558519241921"/>
      </right>
      <top style="thin">
        <color theme="8" tint="0.39997558519241921"/>
      </top>
      <bottom style="thin">
        <color theme="8" tint="0.39997558519241921"/>
      </bottom>
      <diagonal/>
    </border>
    <border>
      <left style="medium">
        <color indexed="64"/>
      </left>
      <right style="thin">
        <color theme="8" tint="0.39997558519241921"/>
      </right>
      <top style="medium">
        <color indexed="64"/>
      </top>
      <bottom style="thin">
        <color theme="8" tint="0.39997558519241921"/>
      </bottom>
      <diagonal/>
    </border>
    <border>
      <left style="thin">
        <color theme="8" tint="0.39997558519241921"/>
      </left>
      <right style="medium">
        <color indexed="64"/>
      </right>
      <top style="medium">
        <color indexed="64"/>
      </top>
      <bottom style="thin">
        <color theme="8" tint="0.39997558519241921"/>
      </bottom>
      <diagonal/>
    </border>
    <border>
      <left style="medium">
        <color indexed="64"/>
      </left>
      <right style="thin">
        <color theme="8" tint="0.39997558519241921"/>
      </right>
      <top style="thin">
        <color theme="8" tint="0.39997558519241921"/>
      </top>
      <bottom style="thin">
        <color theme="8" tint="0.39997558519241921"/>
      </bottom>
      <diagonal/>
    </border>
    <border>
      <left style="thin">
        <color theme="8" tint="0.39997558519241921"/>
      </left>
      <right style="medium">
        <color indexed="64"/>
      </right>
      <top style="thin">
        <color theme="8" tint="0.39997558519241921"/>
      </top>
      <bottom style="thin">
        <color theme="8" tint="0.39997558519241921"/>
      </bottom>
      <diagonal/>
    </border>
    <border>
      <left style="medium">
        <color indexed="64"/>
      </left>
      <right style="thin">
        <color theme="8" tint="0.39997558519241921"/>
      </right>
      <top style="thin">
        <color theme="8" tint="0.39997558519241921"/>
      </top>
      <bottom style="medium">
        <color indexed="64"/>
      </bottom>
      <diagonal/>
    </border>
    <border>
      <left style="thin">
        <color theme="8" tint="0.39997558519241921"/>
      </left>
      <right style="medium">
        <color indexed="64"/>
      </right>
      <top style="thin">
        <color theme="8" tint="0.39997558519241921"/>
      </top>
      <bottom style="medium">
        <color indexed="64"/>
      </bottom>
      <diagonal/>
    </border>
    <border>
      <left style="thin">
        <color theme="8" tint="0.39997558519241921"/>
      </left>
      <right/>
      <top style="medium">
        <color indexed="64"/>
      </top>
      <bottom style="thin">
        <color theme="8" tint="0.39997558519241921"/>
      </bottom>
      <diagonal/>
    </border>
    <border>
      <left style="thin">
        <color theme="8" tint="0.39997558519241921"/>
      </left>
      <right/>
      <top style="thin">
        <color theme="8" tint="0.39997558519241921"/>
      </top>
      <bottom style="thin">
        <color theme="8" tint="0.39997558519241921"/>
      </bottom>
      <diagonal/>
    </border>
    <border>
      <left style="thin">
        <color theme="8" tint="0.39997558519241921"/>
      </left>
      <right/>
      <top style="thin">
        <color theme="8" tint="0.39997558519241921"/>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6699"/>
      </left>
      <right/>
      <top style="thin">
        <color rgb="FF006699"/>
      </top>
      <bottom/>
      <diagonal/>
    </border>
    <border>
      <left/>
      <right/>
      <top style="thin">
        <color rgb="FF006699"/>
      </top>
      <bottom/>
      <diagonal/>
    </border>
    <border>
      <left/>
      <right style="thin">
        <color rgb="FF006699"/>
      </right>
      <top style="thin">
        <color rgb="FF006699"/>
      </top>
      <bottom/>
      <diagonal/>
    </border>
    <border>
      <left style="thin">
        <color rgb="FF006699"/>
      </left>
      <right/>
      <top/>
      <bottom/>
      <diagonal/>
    </border>
    <border>
      <left/>
      <right style="thin">
        <color rgb="FF006699"/>
      </right>
      <top/>
      <bottom/>
      <diagonal/>
    </border>
    <border>
      <left style="thin">
        <color rgb="FF006699"/>
      </left>
      <right/>
      <top/>
      <bottom style="thin">
        <color rgb="FF006699"/>
      </bottom>
      <diagonal/>
    </border>
    <border>
      <left/>
      <right/>
      <top/>
      <bottom style="thin">
        <color rgb="FF006699"/>
      </bottom>
      <diagonal/>
    </border>
    <border>
      <left/>
      <right style="thin">
        <color rgb="FF006699"/>
      </right>
      <top/>
      <bottom style="thin">
        <color rgb="FF006699"/>
      </bottom>
      <diagonal/>
    </border>
    <border>
      <left/>
      <right style="medium">
        <color theme="1"/>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xf numFmtId="43"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402">
    <xf numFmtId="0" fontId="0" fillId="0" borderId="0" xfId="0"/>
    <xf numFmtId="0" fontId="0" fillId="0" borderId="1" xfId="0" applyBorder="1"/>
    <xf numFmtId="0" fontId="2"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right" vertical="center" wrapText="1"/>
    </xf>
    <xf numFmtId="0" fontId="8" fillId="0" borderId="1" xfId="0" applyFont="1" applyBorder="1" applyAlignment="1">
      <alignment horizontal="left" vertical="center" wrapText="1"/>
    </xf>
    <xf numFmtId="0" fontId="15" fillId="0" borderId="1" xfId="0" applyFont="1" applyBorder="1" applyAlignment="1">
      <alignment horizontal="left" vertical="center" wrapText="1"/>
    </xf>
    <xf numFmtId="0" fontId="16" fillId="0" borderId="12" xfId="0" applyFont="1" applyBorder="1" applyAlignment="1">
      <alignment horizontal="justify" vertical="center" wrapText="1"/>
    </xf>
    <xf numFmtId="0" fontId="17" fillId="0" borderId="12" xfId="0" applyFont="1" applyBorder="1" applyAlignment="1">
      <alignment horizontal="center" vertical="center" wrapText="1"/>
    </xf>
    <xf numFmtId="0" fontId="20" fillId="0" borderId="0" xfId="0" applyFont="1" applyAlignment="1">
      <alignment vertical="center"/>
    </xf>
    <xf numFmtId="0" fontId="16" fillId="0" borderId="4" xfId="0" applyFont="1" applyBorder="1" applyAlignment="1">
      <alignment horizontal="center" vertical="center" wrapText="1"/>
    </xf>
    <xf numFmtId="0" fontId="20" fillId="4" borderId="16" xfId="0" applyFont="1" applyFill="1" applyBorder="1" applyAlignment="1">
      <alignment vertical="center"/>
    </xf>
    <xf numFmtId="43" fontId="20" fillId="6" borderId="16" xfId="1" applyFont="1" applyFill="1" applyBorder="1">
      <alignment vertical="center"/>
    </xf>
    <xf numFmtId="0" fontId="20" fillId="0" borderId="16" xfId="0" applyFont="1" applyBorder="1" applyAlignment="1">
      <alignment vertical="center"/>
    </xf>
    <xf numFmtId="2" fontId="20" fillId="0" borderId="0" xfId="0" applyNumberFormat="1" applyFont="1" applyAlignment="1">
      <alignment vertical="center"/>
    </xf>
    <xf numFmtId="0" fontId="22" fillId="0" borderId="0" xfId="0" applyFont="1"/>
    <xf numFmtId="0" fontId="7" fillId="0" borderId="0" xfId="0" applyFont="1"/>
    <xf numFmtId="0" fontId="20" fillId="0" borderId="1" xfId="0" applyFont="1" applyBorder="1" applyAlignment="1">
      <alignment horizontal="center" vertical="center" wrapText="1"/>
    </xf>
    <xf numFmtId="0" fontId="20" fillId="0" borderId="6" xfId="0" applyFont="1" applyBorder="1" applyAlignment="1">
      <alignment horizontal="center" vertical="center" wrapText="1"/>
    </xf>
    <xf numFmtId="0" fontId="7" fillId="0" borderId="0" xfId="0" applyFont="1" applyAlignment="1">
      <alignment vertical="center"/>
    </xf>
    <xf numFmtId="0" fontId="20" fillId="5" borderId="16" xfId="0" applyFont="1" applyFill="1" applyBorder="1" applyAlignment="1">
      <alignment horizontal="center" vertical="center" wrapText="1"/>
    </xf>
    <xf numFmtId="0" fontId="7" fillId="0" borderId="16" xfId="0" applyFont="1" applyBorder="1" applyAlignment="1">
      <alignment vertical="center"/>
    </xf>
    <xf numFmtId="2" fontId="7" fillId="0" borderId="0" xfId="0" applyNumberFormat="1" applyFont="1"/>
    <xf numFmtId="43" fontId="24" fillId="6" borderId="16" xfId="0" applyNumberFormat="1" applyFont="1" applyFill="1" applyBorder="1" applyAlignment="1">
      <alignment vertical="center"/>
    </xf>
    <xf numFmtId="0" fontId="20" fillId="0" borderId="19" xfId="0" applyFont="1" applyBorder="1" applyAlignment="1">
      <alignment horizontal="center" vertical="center" wrapText="1"/>
    </xf>
    <xf numFmtId="43" fontId="20" fillId="6" borderId="21" xfId="1" applyFont="1" applyFill="1" applyBorder="1">
      <alignment vertical="center"/>
    </xf>
    <xf numFmtId="0" fontId="20" fillId="0" borderId="20" xfId="0" applyFont="1" applyBorder="1" applyAlignment="1">
      <alignment vertical="center"/>
    </xf>
    <xf numFmtId="2" fontId="20" fillId="6" borderId="17" xfId="0" applyNumberFormat="1" applyFont="1" applyFill="1" applyBorder="1" applyAlignment="1">
      <alignment vertical="center"/>
    </xf>
    <xf numFmtId="0" fontId="25" fillId="0" borderId="0" xfId="0" applyFont="1"/>
    <xf numFmtId="43" fontId="7" fillId="0" borderId="0" xfId="0" applyNumberFormat="1" applyFont="1"/>
    <xf numFmtId="0" fontId="20" fillId="0" borderId="12" xfId="0" applyFont="1" applyBorder="1" applyAlignment="1">
      <alignment horizontal="left" vertical="center" wrapText="1"/>
    </xf>
    <xf numFmtId="0" fontId="16" fillId="0" borderId="12" xfId="0" applyFont="1" applyBorder="1" applyAlignment="1">
      <alignment horizontal="center" vertical="center" wrapText="1"/>
    </xf>
    <xf numFmtId="0" fontId="17" fillId="0" borderId="4" xfId="0" applyFont="1" applyBorder="1" applyAlignment="1">
      <alignment horizontal="center" vertical="center" wrapText="1"/>
    </xf>
    <xf numFmtId="3" fontId="17" fillId="0" borderId="12" xfId="0" applyNumberFormat="1" applyFont="1" applyBorder="1" applyAlignment="1">
      <alignment horizontal="center" vertical="center" wrapText="1"/>
    </xf>
    <xf numFmtId="3" fontId="17" fillId="0" borderId="12" xfId="0" applyNumberFormat="1" applyFont="1" applyBorder="1" applyAlignment="1">
      <alignment horizontal="right" vertical="center" wrapText="1"/>
    </xf>
    <xf numFmtId="0" fontId="17" fillId="0" borderId="4" xfId="0" applyFont="1" applyBorder="1" applyAlignment="1">
      <alignment horizontal="right" vertical="center" wrapText="1"/>
    </xf>
    <xf numFmtId="0" fontId="17" fillId="0" borderId="12" xfId="0" applyFont="1" applyBorder="1" applyAlignment="1">
      <alignment horizontal="right" vertical="center" wrapText="1"/>
    </xf>
    <xf numFmtId="0" fontId="17" fillId="0" borderId="28" xfId="0" applyFont="1" applyBorder="1" applyAlignment="1">
      <alignment horizontal="justify" vertical="center" wrapText="1"/>
    </xf>
    <xf numFmtId="3" fontId="31" fillId="7" borderId="12" xfId="0" applyNumberFormat="1" applyFont="1" applyFill="1" applyBorder="1" applyAlignment="1">
      <alignment horizontal="right" vertical="center" wrapText="1"/>
    </xf>
    <xf numFmtId="0" fontId="30" fillId="7" borderId="25" xfId="0" applyFont="1" applyFill="1" applyBorder="1" applyAlignment="1">
      <alignment horizontal="center" vertical="center" wrapText="1"/>
    </xf>
    <xf numFmtId="0" fontId="20" fillId="0" borderId="5" xfId="0" applyFont="1" applyBorder="1" applyAlignment="1">
      <alignment vertical="center" wrapText="1"/>
    </xf>
    <xf numFmtId="3" fontId="0" fillId="0" borderId="0" xfId="0" applyNumberFormat="1"/>
    <xf numFmtId="3" fontId="31" fillId="7" borderId="12" xfId="0" applyNumberFormat="1" applyFont="1" applyFill="1" applyBorder="1" applyAlignment="1">
      <alignment horizontal="center" vertical="center" wrapText="1"/>
    </xf>
    <xf numFmtId="3" fontId="7" fillId="0" borderId="0" xfId="0" applyNumberFormat="1" applyFont="1"/>
    <xf numFmtId="43" fontId="7" fillId="0" borderId="0" xfId="1" applyFont="1" applyAlignment="1"/>
    <xf numFmtId="3" fontId="17" fillId="0" borderId="1" xfId="0" applyNumberFormat="1" applyFont="1" applyBorder="1" applyAlignment="1">
      <alignment horizontal="right" vertical="center" wrapText="1"/>
    </xf>
    <xf numFmtId="0" fontId="20" fillId="0" borderId="12" xfId="0" applyFont="1" applyBorder="1" applyAlignment="1">
      <alignment horizontal="center" vertical="center" wrapText="1"/>
    </xf>
    <xf numFmtId="3" fontId="20" fillId="0" borderId="12" xfId="0" applyNumberFormat="1" applyFont="1" applyBorder="1" applyAlignment="1">
      <alignment horizontal="right" vertical="center" wrapText="1"/>
    </xf>
    <xf numFmtId="0" fontId="20" fillId="0" borderId="12" xfId="0" applyFont="1" applyBorder="1" applyAlignment="1">
      <alignment horizontal="right" vertical="center" wrapText="1"/>
    </xf>
    <xf numFmtId="10" fontId="20" fillId="0" borderId="12" xfId="0" applyNumberFormat="1" applyFont="1" applyBorder="1" applyAlignment="1">
      <alignment horizontal="center" vertical="center" wrapText="1"/>
    </xf>
    <xf numFmtId="0" fontId="20" fillId="0" borderId="6" xfId="0" applyFont="1" applyBorder="1" applyAlignment="1">
      <alignment horizontal="left" vertical="center" wrapText="1"/>
    </xf>
    <xf numFmtId="0" fontId="28" fillId="0" borderId="28" xfId="0" applyFont="1" applyBorder="1" applyAlignment="1">
      <alignment horizontal="right" vertical="center" wrapText="1"/>
    </xf>
    <xf numFmtId="0" fontId="28" fillId="0" borderId="12" xfId="0" applyFont="1" applyBorder="1" applyAlignment="1">
      <alignment horizontal="right" vertical="center" wrapText="1"/>
    </xf>
    <xf numFmtId="9" fontId="20" fillId="0" borderId="12" xfId="2" applyFont="1" applyBorder="1" applyAlignment="1">
      <alignment horizontal="right" vertical="center" wrapText="1"/>
    </xf>
    <xf numFmtId="3" fontId="20" fillId="0" borderId="6" xfId="0" applyNumberFormat="1" applyFont="1" applyBorder="1" applyAlignment="1">
      <alignment horizontal="left" vertical="center" wrapText="1"/>
    </xf>
    <xf numFmtId="3" fontId="20" fillId="0" borderId="12" xfId="0" applyNumberFormat="1" applyFont="1" applyBorder="1" applyAlignment="1">
      <alignment horizontal="left" vertical="center" wrapText="1"/>
    </xf>
    <xf numFmtId="0" fontId="20" fillId="0" borderId="11"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4" xfId="0" applyFont="1" applyBorder="1" applyAlignment="1">
      <alignment horizontal="left" vertical="center" wrapText="1"/>
    </xf>
    <xf numFmtId="9" fontId="7" fillId="0" borderId="0" xfId="2" applyFont="1" applyAlignment="1"/>
    <xf numFmtId="0" fontId="25" fillId="0" borderId="0" xfId="0" applyFont="1" applyAlignment="1">
      <alignment horizontal="justify" vertical="center"/>
    </xf>
    <xf numFmtId="0" fontId="22" fillId="0" borderId="0" xfId="0" applyFont="1" applyAlignment="1">
      <alignment horizontal="right"/>
    </xf>
    <xf numFmtId="0" fontId="25" fillId="0" borderId="0" xfId="0" applyFont="1" applyAlignment="1">
      <alignment horizontal="right"/>
    </xf>
    <xf numFmtId="3" fontId="0" fillId="0" borderId="1" xfId="0" applyNumberFormat="1" applyBorder="1"/>
    <xf numFmtId="43" fontId="0" fillId="0" borderId="0" xfId="0" applyNumberFormat="1"/>
    <xf numFmtId="0" fontId="31" fillId="7" borderId="25" xfId="0" applyFont="1" applyFill="1" applyBorder="1" applyAlignment="1">
      <alignment horizontal="center" vertical="center" wrapText="1"/>
    </xf>
    <xf numFmtId="0" fontId="30" fillId="7" borderId="12" xfId="0" applyFont="1" applyFill="1" applyBorder="1" applyAlignment="1">
      <alignment horizontal="center" vertical="center" wrapText="1"/>
    </xf>
    <xf numFmtId="0" fontId="17" fillId="0" borderId="28" xfId="0" applyFont="1" applyBorder="1" applyAlignment="1">
      <alignment horizontal="center" vertical="center" wrapText="1"/>
    </xf>
    <xf numFmtId="10" fontId="17" fillId="0" borderId="12" xfId="0" applyNumberFormat="1" applyFont="1" applyBorder="1" applyAlignment="1">
      <alignment horizontal="right" vertical="center" wrapText="1"/>
    </xf>
    <xf numFmtId="0" fontId="30" fillId="7" borderId="12" xfId="0" applyFont="1" applyFill="1" applyBorder="1" applyAlignment="1">
      <alignment horizontal="right"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3" fontId="17" fillId="0" borderId="1" xfId="0" applyNumberFormat="1" applyFont="1" applyBorder="1" applyAlignment="1">
      <alignment horizontal="center" vertical="center" wrapText="1"/>
    </xf>
    <xf numFmtId="0" fontId="17" fillId="0" borderId="1" xfId="0" applyFont="1" applyBorder="1" applyAlignment="1">
      <alignment horizontal="right" vertical="center" wrapText="1"/>
    </xf>
    <xf numFmtId="3" fontId="31" fillId="7" borderId="1" xfId="0" applyNumberFormat="1" applyFont="1" applyFill="1" applyBorder="1" applyAlignment="1">
      <alignment horizontal="justify" vertical="center" wrapText="1"/>
    </xf>
    <xf numFmtId="0" fontId="17" fillId="0" borderId="29" xfId="0" applyFont="1" applyBorder="1" applyAlignment="1">
      <alignment horizontal="justify" vertical="center" wrapText="1"/>
    </xf>
    <xf numFmtId="0" fontId="16" fillId="0" borderId="1" xfId="0" applyFont="1" applyBorder="1" applyAlignment="1">
      <alignment horizontal="justify" vertical="center" wrapText="1"/>
    </xf>
    <xf numFmtId="3" fontId="31" fillId="7" borderId="1" xfId="0" applyNumberFormat="1" applyFont="1" applyFill="1" applyBorder="1" applyAlignment="1">
      <alignment horizontal="right" vertical="center" wrapText="1"/>
    </xf>
    <xf numFmtId="0" fontId="17" fillId="0" borderId="1" xfId="0" applyFont="1" applyBorder="1" applyAlignment="1">
      <alignment vertical="center" wrapText="1"/>
    </xf>
    <xf numFmtId="0" fontId="0" fillId="0" borderId="1" xfId="0" applyBorder="1" applyAlignment="1">
      <alignment horizontal="center"/>
    </xf>
    <xf numFmtId="0" fontId="14" fillId="0" borderId="0" xfId="0" applyFont="1"/>
    <xf numFmtId="0" fontId="38" fillId="0" borderId="0" xfId="0" applyFont="1"/>
    <xf numFmtId="0" fontId="17" fillId="8" borderId="1" xfId="0" applyFont="1" applyFill="1" applyBorder="1" applyAlignment="1">
      <alignment horizontal="right" vertical="center" wrapText="1"/>
    </xf>
    <xf numFmtId="43" fontId="17" fillId="8" borderId="1" xfId="1" applyFont="1" applyFill="1" applyBorder="1" applyAlignment="1">
      <alignment horizontal="right" vertical="center" wrapText="1"/>
    </xf>
    <xf numFmtId="43" fontId="17" fillId="0" borderId="1" xfId="1" applyFont="1" applyBorder="1" applyAlignment="1">
      <alignment horizontal="right" vertical="center" wrapText="1"/>
    </xf>
    <xf numFmtId="0" fontId="16" fillId="0" borderId="1" xfId="0" applyFont="1" applyBorder="1" applyAlignment="1">
      <alignment vertical="center" wrapText="1"/>
    </xf>
    <xf numFmtId="43" fontId="17" fillId="0" borderId="1" xfId="0" applyNumberFormat="1" applyFont="1" applyBorder="1" applyAlignment="1">
      <alignment horizontal="center" vertical="center" wrapText="1"/>
    </xf>
    <xf numFmtId="4" fontId="17" fillId="0" borderId="1" xfId="0" applyNumberFormat="1" applyFont="1" applyBorder="1" applyAlignment="1">
      <alignment horizontal="center" vertical="center" wrapText="1"/>
    </xf>
    <xf numFmtId="3" fontId="31" fillId="7" borderId="1" xfId="0" applyNumberFormat="1" applyFont="1" applyFill="1" applyBorder="1" applyAlignment="1">
      <alignment horizontal="center" vertical="center" wrapText="1"/>
    </xf>
    <xf numFmtId="0" fontId="17" fillId="0" borderId="29" xfId="0" applyFont="1" applyBorder="1" applyAlignment="1">
      <alignment horizontal="center" vertical="center" wrapText="1"/>
    </xf>
    <xf numFmtId="0" fontId="29" fillId="0" borderId="1" xfId="0" applyFont="1" applyBorder="1"/>
    <xf numFmtId="43" fontId="0" fillId="0" borderId="1" xfId="0" applyNumberFormat="1" applyBorder="1"/>
    <xf numFmtId="0" fontId="20" fillId="0" borderId="6" xfId="0" applyFont="1" applyBorder="1" applyAlignment="1">
      <alignment vertical="center" wrapText="1"/>
    </xf>
    <xf numFmtId="0" fontId="20" fillId="0" borderId="19" xfId="0" applyFont="1" applyBorder="1" applyAlignment="1">
      <alignment vertical="center" wrapText="1"/>
    </xf>
    <xf numFmtId="0" fontId="20" fillId="0" borderId="0" xfId="0" applyFont="1" applyAlignment="1">
      <alignment horizontal="center" vertical="center" wrapText="1"/>
    </xf>
    <xf numFmtId="0" fontId="20" fillId="3" borderId="16" xfId="0" applyFont="1" applyFill="1" applyBorder="1" applyAlignment="1">
      <alignment vertical="center"/>
    </xf>
    <xf numFmtId="0" fontId="7" fillId="3" borderId="16" xfId="0" applyFont="1" applyFill="1" applyBorder="1"/>
    <xf numFmtId="0" fontId="41" fillId="7" borderId="1" xfId="0" applyFont="1" applyFill="1" applyBorder="1" applyAlignment="1">
      <alignment horizontal="center" vertical="center" wrapText="1"/>
    </xf>
    <xf numFmtId="3" fontId="20" fillId="0" borderId="29" xfId="0" applyNumberFormat="1" applyFont="1" applyBorder="1" applyAlignment="1">
      <alignment horizontal="right" vertical="center" wrapText="1"/>
    </xf>
    <xf numFmtId="0" fontId="0" fillId="0" borderId="0" xfId="0" applyAlignment="1">
      <alignment horizontal="right"/>
    </xf>
    <xf numFmtId="0" fontId="20" fillId="0" borderId="32" xfId="0" applyFont="1" applyBorder="1" applyAlignment="1">
      <alignment horizontal="center" vertical="center" wrapText="1"/>
    </xf>
    <xf numFmtId="177" fontId="26" fillId="0" borderId="33" xfId="0" applyNumberFormat="1" applyFont="1" applyBorder="1"/>
    <xf numFmtId="43" fontId="26" fillId="0" borderId="32" xfId="0" applyNumberFormat="1" applyFont="1" applyBorder="1"/>
    <xf numFmtId="43" fontId="26" fillId="0" borderId="33" xfId="0" applyNumberFormat="1" applyFont="1" applyBorder="1"/>
    <xf numFmtId="177" fontId="7" fillId="0" borderId="0" xfId="0" applyNumberFormat="1" applyFont="1"/>
    <xf numFmtId="177" fontId="42" fillId="0" borderId="0" xfId="0" applyNumberFormat="1" applyFont="1"/>
    <xf numFmtId="10" fontId="20" fillId="0" borderId="12" xfId="2" applyNumberFormat="1" applyFont="1" applyBorder="1" applyAlignment="1">
      <alignment horizontal="center" vertical="center" wrapText="1"/>
    </xf>
    <xf numFmtId="10" fontId="7" fillId="0" borderId="0" xfId="2" applyNumberFormat="1" applyFont="1" applyAlignment="1"/>
    <xf numFmtId="3" fontId="43" fillId="0" borderId="5" xfId="0" applyNumberFormat="1" applyFont="1" applyBorder="1" applyAlignment="1">
      <alignment vertical="center" wrapText="1"/>
    </xf>
    <xf numFmtId="0" fontId="43" fillId="0" borderId="6" xfId="0" applyFont="1" applyBorder="1" applyAlignment="1">
      <alignment vertical="center" wrapText="1"/>
    </xf>
    <xf numFmtId="177" fontId="7" fillId="0" borderId="0" xfId="1" applyNumberFormat="1" applyFont="1" applyAlignment="1"/>
    <xf numFmtId="43" fontId="20" fillId="0" borderId="0" xfId="0" applyNumberFormat="1" applyFont="1" applyAlignment="1">
      <alignment vertical="center"/>
    </xf>
    <xf numFmtId="43" fontId="20" fillId="0" borderId="34" xfId="0" applyNumberFormat="1" applyFont="1" applyBorder="1" applyAlignment="1">
      <alignment vertical="center"/>
    </xf>
    <xf numFmtId="177" fontId="20" fillId="0" borderId="34" xfId="0" applyNumberFormat="1" applyFont="1" applyBorder="1" applyAlignment="1">
      <alignment vertical="center"/>
    </xf>
    <xf numFmtId="0" fontId="20" fillId="0" borderId="34" xfId="0" applyFont="1" applyBorder="1" applyAlignment="1">
      <alignment vertical="center"/>
    </xf>
    <xf numFmtId="0" fontId="7" fillId="9" borderId="1" xfId="0" applyFont="1" applyFill="1" applyBorder="1"/>
    <xf numFmtId="0" fontId="16" fillId="9" borderId="1" xfId="0" applyFont="1" applyFill="1" applyBorder="1" applyAlignment="1">
      <alignment horizontal="center" vertical="center" wrapText="1"/>
    </xf>
    <xf numFmtId="0" fontId="17" fillId="9" borderId="1" xfId="0" applyFont="1" applyFill="1" applyBorder="1" applyAlignment="1">
      <alignment horizontal="center" vertical="center" wrapText="1"/>
    </xf>
    <xf numFmtId="0" fontId="29" fillId="9" borderId="1" xfId="0" applyFont="1" applyFill="1" applyBorder="1"/>
    <xf numFmtId="0" fontId="16" fillId="9" borderId="1" xfId="0" applyFont="1" applyFill="1" applyBorder="1" applyAlignment="1">
      <alignment vertical="center" wrapText="1"/>
    </xf>
    <xf numFmtId="0" fontId="17" fillId="9" borderId="1" xfId="0" applyFont="1" applyFill="1" applyBorder="1" applyAlignment="1">
      <alignment vertical="center" wrapText="1"/>
    </xf>
    <xf numFmtId="0" fontId="17" fillId="9" borderId="12" xfId="0" applyFont="1" applyFill="1" applyBorder="1" applyAlignment="1">
      <alignment horizontal="center" vertical="center" wrapText="1"/>
    </xf>
    <xf numFmtId="0" fontId="0" fillId="9" borderId="1" xfId="0" applyFill="1" applyBorder="1"/>
    <xf numFmtId="0" fontId="0" fillId="9" borderId="1" xfId="0" applyFill="1" applyBorder="1" applyAlignment="1">
      <alignment horizontal="center"/>
    </xf>
    <xf numFmtId="2" fontId="7" fillId="0" borderId="16" xfId="0" applyNumberFormat="1" applyFont="1" applyBorder="1"/>
    <xf numFmtId="1" fontId="0" fillId="0" borderId="0" xfId="0" applyNumberFormat="1"/>
    <xf numFmtId="180" fontId="0" fillId="0" borderId="37" xfId="0" applyNumberFormat="1" applyBorder="1"/>
    <xf numFmtId="0" fontId="0" fillId="0" borderId="38" xfId="0" applyBorder="1"/>
    <xf numFmtId="0" fontId="0" fillId="0" borderId="40" xfId="0" applyBorder="1"/>
    <xf numFmtId="180" fontId="0" fillId="0" borderId="42" xfId="0" applyNumberFormat="1" applyBorder="1"/>
    <xf numFmtId="0" fontId="17" fillId="9" borderId="2" xfId="0" applyFont="1" applyFill="1" applyBorder="1" applyAlignment="1">
      <alignment vertical="center" wrapText="1"/>
    </xf>
    <xf numFmtId="0" fontId="16" fillId="9" borderId="1" xfId="0" applyFont="1" applyFill="1" applyBorder="1" applyAlignment="1">
      <alignment horizontal="left" vertical="center" wrapText="1"/>
    </xf>
    <xf numFmtId="0" fontId="48" fillId="9" borderId="1" xfId="0" applyFont="1" applyFill="1" applyBorder="1" applyAlignment="1">
      <alignment horizontal="center" vertical="center" wrapText="1"/>
    </xf>
    <xf numFmtId="4" fontId="17" fillId="9" borderId="1" xfId="0" applyNumberFormat="1" applyFont="1" applyFill="1" applyBorder="1" applyAlignment="1">
      <alignment vertical="center" wrapText="1"/>
    </xf>
    <xf numFmtId="0" fontId="17" fillId="0" borderId="2" xfId="0" applyFont="1" applyBorder="1" applyAlignment="1">
      <alignment vertical="center" wrapText="1"/>
    </xf>
    <xf numFmtId="4" fontId="17" fillId="9" borderId="2" xfId="0" applyNumberFormat="1" applyFont="1" applyFill="1" applyBorder="1" applyAlignment="1">
      <alignment vertical="center" wrapText="1"/>
    </xf>
    <xf numFmtId="177" fontId="26" fillId="0" borderId="32" xfId="0" applyNumberFormat="1" applyFont="1" applyBorder="1"/>
    <xf numFmtId="182" fontId="17" fillId="0" borderId="12" xfId="0" applyNumberFormat="1" applyFont="1" applyBorder="1" applyAlignment="1">
      <alignment horizontal="right" vertical="center" wrapText="1"/>
    </xf>
    <xf numFmtId="183" fontId="17" fillId="0" borderId="12" xfId="0" applyNumberFormat="1" applyFont="1" applyBorder="1" applyAlignment="1">
      <alignment horizontal="right" vertical="center" wrapText="1"/>
    </xf>
    <xf numFmtId="4" fontId="0" fillId="0" borderId="37" xfId="0" applyNumberFormat="1" applyBorder="1"/>
    <xf numFmtId="4" fontId="0" fillId="0" borderId="42" xfId="0" applyNumberFormat="1" applyBorder="1"/>
    <xf numFmtId="4" fontId="0" fillId="0" borderId="39" xfId="0" applyNumberFormat="1" applyBorder="1"/>
    <xf numFmtId="4" fontId="0" fillId="0" borderId="43" xfId="0" applyNumberFormat="1" applyBorder="1"/>
    <xf numFmtId="2" fontId="26" fillId="0" borderId="33" xfId="0" applyNumberFormat="1" applyFont="1" applyBorder="1"/>
    <xf numFmtId="2" fontId="26" fillId="0" borderId="32" xfId="0" applyNumberFormat="1" applyFont="1" applyBorder="1"/>
    <xf numFmtId="2" fontId="7" fillId="0" borderId="32" xfId="0" applyNumberFormat="1" applyFont="1" applyBorder="1"/>
    <xf numFmtId="0" fontId="0" fillId="0" borderId="10" xfId="0" applyBorder="1"/>
    <xf numFmtId="4" fontId="0" fillId="0" borderId="11" xfId="0" applyNumberFormat="1" applyBorder="1"/>
    <xf numFmtId="0" fontId="0" fillId="0" borderId="15" xfId="0" applyBorder="1"/>
    <xf numFmtId="0" fontId="0" fillId="0" borderId="7" xfId="0" applyBorder="1"/>
    <xf numFmtId="1" fontId="0" fillId="0" borderId="25" xfId="0" applyNumberFormat="1" applyBorder="1"/>
    <xf numFmtId="0" fontId="0" fillId="0" borderId="8" xfId="0" applyBorder="1"/>
    <xf numFmtId="0" fontId="0" fillId="0" borderId="9" xfId="0" applyBorder="1"/>
    <xf numFmtId="1" fontId="0" fillId="0" borderId="12" xfId="0" applyNumberFormat="1" applyBorder="1"/>
    <xf numFmtId="0" fontId="20" fillId="6" borderId="35" xfId="0" applyFont="1" applyFill="1" applyBorder="1" applyAlignment="1">
      <alignment vertical="center" wrapText="1"/>
    </xf>
    <xf numFmtId="0" fontId="20" fillId="6" borderId="41" xfId="0" applyFont="1" applyFill="1" applyBorder="1" applyAlignment="1">
      <alignment vertical="center" wrapText="1"/>
    </xf>
    <xf numFmtId="0" fontId="20" fillId="6" borderId="36" xfId="0" applyFont="1" applyFill="1" applyBorder="1" applyAlignment="1">
      <alignment vertical="center" wrapText="1"/>
    </xf>
    <xf numFmtId="0" fontId="49" fillId="10" borderId="44" xfId="0" applyFont="1" applyFill="1" applyBorder="1" applyAlignment="1">
      <alignment horizontal="center" vertical="center" wrapText="1"/>
    </xf>
    <xf numFmtId="0" fontId="49" fillId="10" borderId="45" xfId="0" applyFont="1" applyFill="1" applyBorder="1" applyAlignment="1">
      <alignment horizontal="center" vertical="center" wrapText="1"/>
    </xf>
    <xf numFmtId="0" fontId="48" fillId="10" borderId="46" xfId="0" applyFont="1" applyFill="1" applyBorder="1" applyAlignment="1">
      <alignment horizontal="center" vertical="center" wrapText="1"/>
    </xf>
    <xf numFmtId="0" fontId="48" fillId="10" borderId="47" xfId="0" applyFont="1" applyFill="1" applyBorder="1" applyAlignment="1">
      <alignment horizontal="center" vertical="center" wrapText="1"/>
    </xf>
    <xf numFmtId="3" fontId="17" fillId="8" borderId="1" xfId="0" applyNumberFormat="1" applyFont="1" applyFill="1" applyBorder="1" applyAlignment="1">
      <alignment horizontal="right" vertical="center" wrapText="1"/>
    </xf>
    <xf numFmtId="0" fontId="26" fillId="0" borderId="0" xfId="0" applyFont="1"/>
    <xf numFmtId="0" fontId="50" fillId="0" borderId="0" xfId="0" applyFont="1"/>
    <xf numFmtId="0" fontId="0" fillId="0" borderId="51" xfId="0" applyBorder="1"/>
    <xf numFmtId="9" fontId="0" fillId="0" borderId="0" xfId="2" applyFont="1" applyBorder="1" applyAlignment="1"/>
    <xf numFmtId="0" fontId="0" fillId="0" borderId="52" xfId="0" applyBorder="1"/>
    <xf numFmtId="3" fontId="0" fillId="0" borderId="52" xfId="0" applyNumberFormat="1" applyBorder="1"/>
    <xf numFmtId="0" fontId="0" fillId="0" borderId="53" xfId="0" applyBorder="1"/>
    <xf numFmtId="3" fontId="0" fillId="0" borderId="54" xfId="0" applyNumberFormat="1" applyBorder="1"/>
    <xf numFmtId="3" fontId="0" fillId="0" borderId="55" xfId="0" applyNumberFormat="1" applyBorder="1"/>
    <xf numFmtId="0" fontId="0" fillId="11" borderId="48" xfId="0" applyFill="1" applyBorder="1"/>
    <xf numFmtId="0" fontId="0" fillId="11" borderId="49" xfId="0" applyFill="1" applyBorder="1"/>
    <xf numFmtId="0" fontId="0" fillId="11" borderId="50" xfId="0" applyFill="1" applyBorder="1"/>
    <xf numFmtId="0" fontId="0" fillId="11" borderId="51" xfId="0" applyFill="1" applyBorder="1"/>
    <xf numFmtId="0" fontId="0" fillId="11" borderId="0" xfId="0" applyFill="1"/>
    <xf numFmtId="0" fontId="0" fillId="11" borderId="52" xfId="0" applyFill="1" applyBorder="1"/>
    <xf numFmtId="182" fontId="26" fillId="0" borderId="0" xfId="2" applyNumberFormat="1" applyFont="1" applyAlignment="1"/>
    <xf numFmtId="179" fontId="51" fillId="0" borderId="1" xfId="1" applyNumberFormat="1" applyFont="1" applyBorder="1" applyAlignment="1"/>
    <xf numFmtId="179" fontId="52" fillId="0" borderId="1" xfId="1" applyNumberFormat="1" applyFont="1" applyBorder="1" applyAlignment="1">
      <alignment horizontal="right" vertical="center" wrapText="1"/>
    </xf>
    <xf numFmtId="3" fontId="52" fillId="0" borderId="1" xfId="0" applyNumberFormat="1" applyFont="1" applyBorder="1" applyAlignment="1">
      <alignment horizontal="right" vertical="center" wrapText="1"/>
    </xf>
    <xf numFmtId="10" fontId="52" fillId="0" borderId="1" xfId="0" applyNumberFormat="1" applyFont="1" applyBorder="1" applyAlignment="1">
      <alignment horizontal="right" vertical="center" wrapText="1"/>
    </xf>
    <xf numFmtId="9" fontId="52" fillId="0" borderId="1" xfId="2" applyFont="1" applyBorder="1" applyAlignment="1">
      <alignment horizontal="right" vertical="center" wrapText="1"/>
    </xf>
    <xf numFmtId="0" fontId="0" fillId="9" borderId="11" xfId="0" applyFill="1" applyBorder="1"/>
    <xf numFmtId="0" fontId="0" fillId="0" borderId="11" xfId="0" applyBorder="1"/>
    <xf numFmtId="177" fontId="0" fillId="0" borderId="0" xfId="0" applyNumberFormat="1"/>
    <xf numFmtId="0" fontId="2" fillId="0" borderId="1" xfId="0" applyFont="1" applyFill="1" applyBorder="1" applyAlignment="1">
      <alignment horizontal="right" vertical="center" wrapText="1"/>
    </xf>
    <xf numFmtId="179" fontId="51" fillId="0" borderId="1" xfId="1" applyNumberFormat="1" applyFont="1" applyFill="1" applyBorder="1" applyAlignment="1"/>
    <xf numFmtId="0" fontId="0" fillId="0" borderId="0" xfId="0" applyNumberFormat="1"/>
    <xf numFmtId="0" fontId="54" fillId="9" borderId="1" xfId="0" applyFont="1" applyFill="1" applyBorder="1" applyAlignment="1">
      <alignment vertical="center" wrapText="1"/>
    </xf>
    <xf numFmtId="181" fontId="55" fillId="0" borderId="12" xfId="0" applyNumberFormat="1" applyFont="1" applyBorder="1" applyAlignment="1">
      <alignment horizontal="center" vertical="center" wrapText="1"/>
    </xf>
    <xf numFmtId="2" fontId="55" fillId="0" borderId="9" xfId="0" applyNumberFormat="1" applyFont="1" applyBorder="1" applyAlignment="1">
      <alignment horizontal="center" vertical="center" wrapText="1"/>
    </xf>
    <xf numFmtId="176" fontId="23" fillId="9" borderId="5" xfId="0" applyNumberFormat="1" applyFont="1" applyFill="1" applyBorder="1" applyAlignment="1">
      <alignment horizontal="center" vertical="center" wrapText="1"/>
    </xf>
    <xf numFmtId="0" fontId="56" fillId="9" borderId="14" xfId="0" applyFont="1" applyFill="1" applyBorder="1" applyAlignment="1">
      <alignment vertical="center"/>
    </xf>
    <xf numFmtId="0" fontId="23" fillId="9" borderId="16" xfId="0" applyFont="1" applyFill="1" applyBorder="1" applyAlignment="1">
      <alignment vertical="center"/>
    </xf>
    <xf numFmtId="0" fontId="56" fillId="9" borderId="16" xfId="0" applyFont="1" applyFill="1" applyBorder="1" applyAlignment="1">
      <alignment vertical="center"/>
    </xf>
    <xf numFmtId="2" fontId="23" fillId="9" borderId="24" xfId="0" applyNumberFormat="1" applyFont="1" applyFill="1" applyBorder="1" applyAlignment="1">
      <alignment vertical="center"/>
    </xf>
    <xf numFmtId="0" fontId="59" fillId="0" borderId="1" xfId="0" applyFont="1" applyBorder="1" applyAlignment="1">
      <alignment vertical="center" wrapText="1"/>
    </xf>
    <xf numFmtId="0" fontId="61" fillId="0" borderId="1" xfId="0" applyFont="1" applyBorder="1" applyAlignment="1">
      <alignment horizontal="left" vertical="center" wrapText="1"/>
    </xf>
    <xf numFmtId="179" fontId="62" fillId="9" borderId="1" xfId="1" applyNumberFormat="1" applyFont="1" applyFill="1" applyBorder="1" applyAlignment="1"/>
    <xf numFmtId="0" fontId="60" fillId="0" borderId="1" xfId="0" applyFont="1" applyFill="1" applyBorder="1" applyAlignment="1">
      <alignment horizontal="right" vertical="center" wrapText="1"/>
    </xf>
    <xf numFmtId="179" fontId="60" fillId="9" borderId="1" xfId="1" applyNumberFormat="1" applyFont="1" applyFill="1" applyBorder="1" applyAlignment="1">
      <alignment horizontal="right" vertical="center" wrapText="1"/>
    </xf>
    <xf numFmtId="0" fontId="64" fillId="0" borderId="1" xfId="0" applyFont="1" applyBorder="1" applyAlignment="1">
      <alignment horizontal="center" vertical="center" wrapText="1"/>
    </xf>
    <xf numFmtId="0" fontId="64" fillId="0" borderId="6" xfId="0" applyFont="1" applyBorder="1" applyAlignment="1">
      <alignment horizontal="center" vertical="center" wrapText="1"/>
    </xf>
    <xf numFmtId="0" fontId="64" fillId="0" borderId="12" xfId="0" applyFont="1" applyBorder="1" applyAlignment="1">
      <alignment vertical="center" wrapText="1"/>
    </xf>
    <xf numFmtId="0" fontId="64" fillId="0" borderId="12" xfId="0" applyFont="1" applyBorder="1" applyAlignment="1">
      <alignment horizontal="center" vertical="center" wrapText="1"/>
    </xf>
    <xf numFmtId="0" fontId="7" fillId="0" borderId="0" xfId="0" applyFont="1" applyBorder="1" applyAlignment="1">
      <alignment horizontal="left" vertical="center" wrapText="1"/>
    </xf>
    <xf numFmtId="0" fontId="66" fillId="0" borderId="57" xfId="0" applyFont="1" applyBorder="1" applyAlignment="1">
      <alignment horizontal="left" vertical="center" wrapText="1"/>
    </xf>
    <xf numFmtId="0" fontId="7" fillId="0" borderId="0" xfId="0" applyFont="1" applyBorder="1" applyAlignment="1">
      <alignment horizontal="left" vertical="center"/>
    </xf>
    <xf numFmtId="0" fontId="66" fillId="0" borderId="61" xfId="0" applyFont="1" applyBorder="1" applyAlignment="1">
      <alignment horizontal="left" vertical="center" wrapText="1"/>
    </xf>
    <xf numFmtId="0" fontId="66" fillId="0" borderId="58" xfId="0" applyFont="1" applyBorder="1" applyAlignment="1">
      <alignment horizontal="left" vertical="center" wrapText="1"/>
    </xf>
    <xf numFmtId="0" fontId="66" fillId="0" borderId="59" xfId="0" applyFont="1" applyFill="1" applyBorder="1" applyAlignment="1">
      <alignment horizontal="left" vertical="center" wrapText="1"/>
    </xf>
    <xf numFmtId="0" fontId="66" fillId="9" borderId="59" xfId="0" applyFont="1" applyFill="1" applyBorder="1" applyAlignment="1">
      <alignment horizontal="left" vertical="center"/>
    </xf>
    <xf numFmtId="0" fontId="66" fillId="0" borderId="59" xfId="0" applyFont="1" applyBorder="1" applyAlignment="1">
      <alignment horizontal="left" vertical="center"/>
    </xf>
    <xf numFmtId="0" fontId="66" fillId="0" borderId="60" xfId="0" applyFont="1" applyBorder="1" applyAlignment="1">
      <alignment horizontal="left" vertical="center"/>
    </xf>
    <xf numFmtId="0" fontId="66" fillId="0" borderId="57" xfId="0" applyFont="1" applyBorder="1" applyAlignment="1">
      <alignment horizontal="left" vertical="center"/>
    </xf>
    <xf numFmtId="0" fontId="66" fillId="9" borderId="57" xfId="0" applyFont="1" applyFill="1" applyBorder="1" applyAlignment="1">
      <alignment horizontal="left" vertical="center"/>
    </xf>
    <xf numFmtId="0" fontId="66" fillId="0" borderId="62" xfId="0" applyFont="1" applyBorder="1" applyAlignment="1">
      <alignment horizontal="left" vertical="center"/>
    </xf>
    <xf numFmtId="0" fontId="66" fillId="0" borderId="57" xfId="0" applyFont="1" applyFill="1" applyBorder="1" applyAlignment="1">
      <alignment horizontal="left" vertical="center" wrapText="1"/>
    </xf>
    <xf numFmtId="0" fontId="66" fillId="0" borderId="66" xfId="0" applyFont="1" applyBorder="1" applyAlignment="1">
      <alignment horizontal="left" vertical="center" wrapText="1"/>
    </xf>
    <xf numFmtId="0" fontId="66" fillId="0" borderId="67" xfId="0" applyFont="1" applyBorder="1" applyAlignment="1">
      <alignment horizontal="left" vertical="center"/>
    </xf>
    <xf numFmtId="0" fontId="66" fillId="9" borderId="67" xfId="0" applyFont="1" applyFill="1" applyBorder="1" applyAlignment="1">
      <alignment horizontal="left" vertical="center"/>
    </xf>
    <xf numFmtId="0" fontId="66" fillId="0" borderId="68" xfId="0" applyFont="1" applyBorder="1" applyAlignment="1">
      <alignment horizontal="left" vertical="center"/>
    </xf>
    <xf numFmtId="0" fontId="66" fillId="0" borderId="59" xfId="0" applyFont="1" applyBorder="1" applyAlignment="1">
      <alignment horizontal="left" vertical="center" wrapText="1"/>
    </xf>
    <xf numFmtId="176" fontId="66" fillId="9" borderId="59" xfId="0" applyNumberFormat="1" applyFont="1" applyFill="1" applyBorder="1" applyAlignment="1">
      <alignment horizontal="left" vertical="center" wrapText="1"/>
    </xf>
    <xf numFmtId="176" fontId="66" fillId="9" borderId="57" xfId="0" applyNumberFormat="1" applyFont="1" applyFill="1" applyBorder="1" applyAlignment="1">
      <alignment horizontal="left" vertical="center" wrapText="1"/>
    </xf>
    <xf numFmtId="176" fontId="66" fillId="9" borderId="62" xfId="0" applyNumberFormat="1" applyFont="1" applyFill="1" applyBorder="1" applyAlignment="1">
      <alignment horizontal="left" vertical="center" wrapText="1"/>
    </xf>
    <xf numFmtId="2" fontId="66" fillId="9" borderId="57" xfId="0" applyNumberFormat="1" applyFont="1" applyFill="1" applyBorder="1" applyAlignment="1">
      <alignment horizontal="left" vertical="center" wrapText="1"/>
    </xf>
    <xf numFmtId="1" fontId="66" fillId="9" borderId="57" xfId="0" applyNumberFormat="1" applyFont="1" applyFill="1" applyBorder="1" applyAlignment="1">
      <alignment horizontal="left" vertical="center" wrapText="1"/>
    </xf>
    <xf numFmtId="0" fontId="66" fillId="2" borderId="61" xfId="0" applyFont="1" applyFill="1" applyBorder="1" applyAlignment="1">
      <alignment horizontal="left" vertical="center" wrapText="1" shrinkToFit="1"/>
    </xf>
    <xf numFmtId="0" fontId="66" fillId="2" borderId="57" xfId="0" applyFont="1" applyFill="1" applyBorder="1" applyAlignment="1">
      <alignment horizontal="left" vertical="center" wrapText="1" shrinkToFit="1"/>
    </xf>
    <xf numFmtId="0" fontId="66" fillId="2" borderId="63" xfId="0" applyFont="1" applyFill="1" applyBorder="1" applyAlignment="1">
      <alignment horizontal="left" vertical="center" wrapText="1" shrinkToFit="1"/>
    </xf>
    <xf numFmtId="0" fontId="66" fillId="2" borderId="64" xfId="0" applyFont="1" applyFill="1" applyBorder="1" applyAlignment="1">
      <alignment horizontal="left" vertical="center" wrapText="1" shrinkToFit="1"/>
    </xf>
    <xf numFmtId="0" fontId="66" fillId="9" borderId="64" xfId="0" applyFont="1" applyFill="1" applyBorder="1" applyAlignment="1">
      <alignment horizontal="left" vertical="center"/>
    </xf>
    <xf numFmtId="0" fontId="66" fillId="0" borderId="64" xfId="0" applyFont="1" applyBorder="1" applyAlignment="1">
      <alignment horizontal="left" vertical="center"/>
    </xf>
    <xf numFmtId="0" fontId="66" fillId="0" borderId="65" xfId="0" applyFont="1" applyBorder="1" applyAlignment="1">
      <alignment horizontal="left" vertical="center"/>
    </xf>
    <xf numFmtId="176" fontId="66" fillId="0" borderId="59" xfId="0" applyNumberFormat="1" applyFont="1" applyFill="1" applyBorder="1" applyAlignment="1">
      <alignment horizontal="left" vertical="center" wrapText="1"/>
    </xf>
    <xf numFmtId="176" fontId="66" fillId="0" borderId="60" xfId="0" applyNumberFormat="1" applyFont="1" applyFill="1" applyBorder="1" applyAlignment="1">
      <alignment horizontal="left" vertical="center" wrapText="1"/>
    </xf>
    <xf numFmtId="0" fontId="7" fillId="0" borderId="0" xfId="0" applyFont="1" applyFill="1" applyBorder="1" applyAlignment="1">
      <alignment horizontal="left" vertical="center"/>
    </xf>
    <xf numFmtId="0" fontId="64" fillId="0" borderId="0" xfId="0" applyFont="1" applyFill="1" applyBorder="1" applyAlignment="1">
      <alignment horizontal="center" vertical="center" wrapText="1"/>
    </xf>
    <xf numFmtId="0" fontId="64" fillId="0" borderId="0" xfId="0" applyFont="1" applyFill="1" applyBorder="1" applyAlignment="1">
      <alignment vertical="center" wrapText="1"/>
    </xf>
    <xf numFmtId="0" fontId="20" fillId="0" borderId="0" xfId="0" applyFont="1" applyBorder="1" applyAlignment="1">
      <alignment horizontal="left" vertical="center" wrapText="1"/>
    </xf>
    <xf numFmtId="2" fontId="66" fillId="0" borderId="57" xfId="0" applyNumberFormat="1" applyFont="1" applyFill="1" applyBorder="1" applyAlignment="1">
      <alignment horizontal="left" vertical="center" wrapText="1"/>
    </xf>
    <xf numFmtId="2" fontId="66" fillId="0" borderId="62" xfId="0" applyNumberFormat="1" applyFont="1" applyFill="1" applyBorder="1" applyAlignment="1">
      <alignment horizontal="left" vertical="center" wrapText="1"/>
    </xf>
    <xf numFmtId="1" fontId="66" fillId="0" borderId="57" xfId="0" applyNumberFormat="1" applyFont="1" applyFill="1" applyBorder="1" applyAlignment="1">
      <alignment horizontal="left" vertical="center" wrapText="1"/>
    </xf>
    <xf numFmtId="1" fontId="66" fillId="0" borderId="62" xfId="0" applyNumberFormat="1" applyFont="1" applyFill="1" applyBorder="1" applyAlignment="1">
      <alignment horizontal="left" vertical="center" wrapText="1"/>
    </xf>
    <xf numFmtId="0" fontId="64" fillId="0" borderId="0" xfId="0" applyFont="1" applyFill="1" applyBorder="1" applyAlignment="1">
      <alignment horizontal="center" vertical="center" wrapText="1"/>
    </xf>
    <xf numFmtId="0" fontId="20" fillId="0" borderId="0" xfId="0" applyFont="1" applyFill="1" applyBorder="1" applyAlignment="1">
      <alignment horizontal="left" vertical="center" wrapText="1"/>
    </xf>
    <xf numFmtId="0" fontId="64" fillId="0" borderId="0" xfId="0" applyFont="1" applyFill="1" applyBorder="1" applyAlignment="1">
      <alignment vertical="center" wrapText="1"/>
    </xf>
    <xf numFmtId="0" fontId="64" fillId="0" borderId="0" xfId="0" applyFont="1" applyFill="1" applyBorder="1" applyAlignment="1">
      <alignment horizontal="justify" vertical="center" wrapText="1"/>
    </xf>
    <xf numFmtId="0" fontId="20" fillId="0" borderId="0" xfId="0" applyFont="1" applyFill="1" applyBorder="1" applyAlignment="1">
      <alignment horizontal="right" vertical="center" wrapText="1"/>
    </xf>
    <xf numFmtId="0" fontId="57" fillId="9" borderId="1" xfId="0" applyFont="1" applyFill="1" applyBorder="1" applyAlignment="1">
      <alignment horizontal="center" vertical="center" wrapText="1"/>
    </xf>
    <xf numFmtId="0" fontId="59" fillId="9" borderId="5" xfId="0" applyFont="1" applyFill="1" applyBorder="1" applyAlignment="1">
      <alignment horizontal="center" vertical="center" wrapText="1"/>
    </xf>
    <xf numFmtId="0" fontId="59" fillId="9" borderId="6" xfId="0" applyFont="1" applyFill="1" applyBorder="1" applyAlignment="1">
      <alignment horizontal="center"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60" fillId="0" borderId="5" xfId="0" applyFont="1" applyBorder="1" applyAlignment="1">
      <alignment horizontal="center" vertical="center" wrapText="1"/>
    </xf>
    <xf numFmtId="0" fontId="60" fillId="0" borderId="6" xfId="0" applyFont="1" applyBorder="1" applyAlignment="1">
      <alignment horizontal="center" vertical="center" wrapText="1"/>
    </xf>
    <xf numFmtId="0" fontId="60" fillId="9" borderId="5" xfId="0" applyFont="1" applyFill="1" applyBorder="1" applyAlignment="1">
      <alignment horizontal="center" vertical="center" wrapText="1"/>
    </xf>
    <xf numFmtId="0" fontId="60" fillId="9" borderId="6" xfId="0" applyFont="1" applyFill="1" applyBorder="1" applyAlignment="1">
      <alignment horizontal="center" vertical="center" wrapText="1"/>
    </xf>
    <xf numFmtId="0" fontId="59" fillId="9" borderId="1" xfId="0" applyFont="1" applyFill="1" applyBorder="1" applyAlignment="1">
      <alignment horizontal="center" vertical="center" wrapText="1"/>
    </xf>
    <xf numFmtId="0" fontId="60" fillId="9" borderId="1" xfId="0" applyFont="1" applyFill="1" applyBorder="1" applyAlignment="1">
      <alignment horizontal="center" vertical="center" wrapText="1"/>
    </xf>
    <xf numFmtId="0" fontId="58" fillId="9" borderId="1" xfId="0" applyFont="1" applyFill="1" applyBorder="1" applyAlignment="1">
      <alignment horizontal="center" vertical="center" wrapText="1"/>
    </xf>
    <xf numFmtId="0" fontId="46" fillId="9"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top" wrapText="1"/>
    </xf>
    <xf numFmtId="0" fontId="2" fillId="0" borderId="1" xfId="0" applyFont="1" applyBorder="1" applyAlignment="1">
      <alignment horizontal="center" vertical="center" wrapText="1"/>
    </xf>
    <xf numFmtId="0" fontId="60" fillId="9" borderId="5" xfId="0" applyNumberFormat="1" applyFont="1" applyFill="1" applyBorder="1" applyAlignment="1">
      <alignment horizontal="center" vertical="center" wrapText="1"/>
    </xf>
    <xf numFmtId="0" fontId="60" fillId="9" borderId="6" xfId="0" applyNumberFormat="1" applyFont="1" applyFill="1" applyBorder="1" applyAlignment="1">
      <alignment horizontal="center" vertical="center" wrapText="1"/>
    </xf>
    <xf numFmtId="0" fontId="53" fillId="9" borderId="5" xfId="0" applyFont="1" applyFill="1" applyBorder="1" applyAlignment="1">
      <alignment horizontal="center" vertical="center"/>
    </xf>
    <xf numFmtId="0" fontId="53" fillId="9" borderId="19" xfId="0" applyFont="1" applyFill="1" applyBorder="1" applyAlignment="1">
      <alignment horizontal="center" vertical="center"/>
    </xf>
    <xf numFmtId="0" fontId="53" fillId="9" borderId="6" xfId="0" applyFont="1" applyFill="1" applyBorder="1" applyAlignment="1">
      <alignment horizontal="center" vertical="center"/>
    </xf>
    <xf numFmtId="0" fontId="20" fillId="2" borderId="13" xfId="0" applyFont="1" applyFill="1" applyBorder="1" applyAlignment="1">
      <alignment horizontal="left" vertical="center" wrapText="1" shrinkToFit="1"/>
    </xf>
    <xf numFmtId="1" fontId="23" fillId="9" borderId="5" xfId="0" applyNumberFormat="1" applyFont="1" applyFill="1" applyBorder="1" applyAlignment="1">
      <alignment horizontal="center" vertical="center" wrapText="1"/>
    </xf>
    <xf numFmtId="1" fontId="23" fillId="9" borderId="19" xfId="0" applyNumberFormat="1" applyFont="1" applyFill="1" applyBorder="1" applyAlignment="1">
      <alignment horizontal="center" vertical="center" wrapText="1"/>
    </xf>
    <xf numFmtId="0" fontId="20" fillId="0" borderId="18" xfId="0" applyFont="1" applyBorder="1" applyAlignment="1">
      <alignment horizontal="left" vertical="center" wrapText="1"/>
    </xf>
    <xf numFmtId="176" fontId="55" fillId="0" borderId="5" xfId="0" applyNumberFormat="1" applyFont="1" applyFill="1" applyBorder="1" applyAlignment="1">
      <alignment horizontal="center" vertical="center" wrapText="1"/>
    </xf>
    <xf numFmtId="176" fontId="55" fillId="0" borderId="56" xfId="0" applyNumberFormat="1" applyFont="1" applyFill="1" applyBorder="1" applyAlignment="1">
      <alignment horizontal="center" vertical="center" wrapText="1"/>
    </xf>
    <xf numFmtId="176" fontId="23" fillId="9" borderId="5" xfId="0" applyNumberFormat="1" applyFont="1" applyFill="1" applyBorder="1" applyAlignment="1">
      <alignment horizontal="center" vertical="center" wrapText="1"/>
    </xf>
    <xf numFmtId="176" fontId="23" fillId="9" borderId="56" xfId="0" applyNumberFormat="1" applyFont="1" applyFill="1" applyBorder="1" applyAlignment="1">
      <alignment horizontal="center" vertical="center" wrapText="1"/>
    </xf>
    <xf numFmtId="2" fontId="23" fillId="9" borderId="5" xfId="0" applyNumberFormat="1" applyFont="1" applyFill="1" applyBorder="1" applyAlignment="1">
      <alignment horizontal="center" vertical="center" wrapText="1"/>
    </xf>
    <xf numFmtId="2" fontId="23" fillId="9" borderId="19" xfId="0" applyNumberFormat="1" applyFont="1" applyFill="1" applyBorder="1" applyAlignment="1">
      <alignment horizontal="center" vertical="center" wrapText="1"/>
    </xf>
    <xf numFmtId="0" fontId="20" fillId="0" borderId="7" xfId="0" applyFont="1" applyBorder="1" applyAlignment="1">
      <alignment horizontal="left" vertical="center" wrapText="1"/>
    </xf>
    <xf numFmtId="0" fontId="20" fillId="0" borderId="25" xfId="0" applyFont="1" applyBorder="1" applyAlignment="1">
      <alignment horizontal="left" vertical="center" wrapText="1"/>
    </xf>
    <xf numFmtId="0" fontId="20" fillId="0" borderId="5"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10" xfId="0" applyFont="1" applyBorder="1" applyAlignment="1">
      <alignment horizontal="left" vertical="center" wrapText="1"/>
    </xf>
    <xf numFmtId="0" fontId="20" fillId="0" borderId="15" xfId="0" applyFont="1" applyBorder="1" applyAlignment="1">
      <alignment horizontal="left" vertical="center" wrapText="1"/>
    </xf>
    <xf numFmtId="0" fontId="20" fillId="0" borderId="18" xfId="0" applyFont="1" applyBorder="1" applyAlignment="1">
      <alignment horizontal="center" vertical="center" wrapText="1"/>
    </xf>
    <xf numFmtId="0" fontId="20" fillId="0" borderId="26" xfId="0" applyFont="1" applyBorder="1" applyAlignment="1">
      <alignment horizontal="left" vertical="center" wrapText="1"/>
    </xf>
    <xf numFmtId="0" fontId="20" fillId="0" borderId="27" xfId="0" applyFont="1" applyBorder="1" applyAlignment="1">
      <alignment horizontal="left" vertical="center" wrapText="1"/>
    </xf>
    <xf numFmtId="0" fontId="20" fillId="0" borderId="8" xfId="0" applyFont="1" applyBorder="1" applyAlignment="1">
      <alignment horizontal="left" vertical="center" wrapText="1"/>
    </xf>
    <xf numFmtId="0" fontId="20" fillId="0" borderId="12" xfId="0" applyFont="1" applyBorder="1" applyAlignment="1">
      <alignment horizontal="left" vertical="center" wrapText="1"/>
    </xf>
    <xf numFmtId="0" fontId="7" fillId="0" borderId="34" xfId="0" applyFont="1" applyBorder="1" applyAlignment="1">
      <alignment horizontal="center" vertical="center"/>
    </xf>
    <xf numFmtId="0" fontId="20" fillId="0" borderId="10"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12" xfId="0" applyFont="1" applyBorder="1" applyAlignment="1">
      <alignment horizontal="center" vertical="center" wrapText="1"/>
    </xf>
    <xf numFmtId="0" fontId="7" fillId="3" borderId="16" xfId="0" applyFont="1" applyFill="1" applyBorder="1" applyAlignment="1">
      <alignment horizontal="center" vertical="center"/>
    </xf>
    <xf numFmtId="0" fontId="20" fillId="3" borderId="22" xfId="0" applyFont="1" applyFill="1" applyBorder="1" applyAlignment="1">
      <alignment horizontal="left" vertical="center"/>
    </xf>
    <xf numFmtId="0" fontId="20" fillId="3" borderId="30" xfId="0" applyFont="1" applyFill="1" applyBorder="1" applyAlignment="1">
      <alignment horizontal="left" vertical="center"/>
    </xf>
    <xf numFmtId="0" fontId="20" fillId="3" borderId="31" xfId="0" applyFont="1" applyFill="1" applyBorder="1" applyAlignment="1">
      <alignment horizontal="left" vertical="center"/>
    </xf>
    <xf numFmtId="0" fontId="43" fillId="0" borderId="8" xfId="0" applyFont="1" applyBorder="1" applyAlignment="1">
      <alignment horizontal="left" vertical="center" wrapText="1"/>
    </xf>
    <xf numFmtId="0" fontId="23" fillId="0" borderId="12" xfId="0" applyFont="1" applyBorder="1" applyAlignment="1">
      <alignment horizontal="left" vertical="center" wrapText="1"/>
    </xf>
    <xf numFmtId="0" fontId="54" fillId="9" borderId="5" xfId="0" applyFont="1" applyFill="1" applyBorder="1" applyAlignment="1">
      <alignment horizontal="center" vertical="center"/>
    </xf>
    <xf numFmtId="0" fontId="54" fillId="9" borderId="19" xfId="0" applyFont="1" applyFill="1" applyBorder="1" applyAlignment="1">
      <alignment horizontal="center" vertical="center"/>
    </xf>
    <xf numFmtId="0" fontId="54" fillId="9" borderId="6" xfId="0" applyFont="1" applyFill="1" applyBorder="1" applyAlignment="1">
      <alignment horizontal="center" vertical="center"/>
    </xf>
    <xf numFmtId="0" fontId="31" fillId="7" borderId="5" xfId="0" applyFont="1" applyFill="1" applyBorder="1" applyAlignment="1">
      <alignment horizontal="center" vertical="center" wrapText="1"/>
    </xf>
    <xf numFmtId="0" fontId="31" fillId="7" borderId="6" xfId="0" applyFont="1" applyFill="1" applyBorder="1" applyAlignment="1">
      <alignment horizontal="center" vertical="center" wrapText="1"/>
    </xf>
    <xf numFmtId="0" fontId="21" fillId="0" borderId="5" xfId="0" applyFont="1" applyBorder="1" applyAlignment="1">
      <alignment horizontal="left" vertical="center" wrapText="1"/>
    </xf>
    <xf numFmtId="0" fontId="21" fillId="0" borderId="19" xfId="0" applyFont="1" applyBorder="1" applyAlignment="1">
      <alignment horizontal="left" vertical="center" wrapText="1"/>
    </xf>
    <xf numFmtId="0" fontId="21" fillId="0" borderId="6" xfId="0" applyFont="1" applyBorder="1" applyAlignment="1">
      <alignment horizontal="left" vertical="center" wrapText="1"/>
    </xf>
    <xf numFmtId="0" fontId="17" fillId="0" borderId="1" xfId="0" applyFont="1" applyBorder="1" applyAlignment="1">
      <alignment horizontal="center" vertical="center" wrapText="1"/>
    </xf>
    <xf numFmtId="0" fontId="14" fillId="0" borderId="9" xfId="0" applyFont="1" applyBorder="1" applyAlignment="1">
      <alignment horizontal="left" vertical="center"/>
    </xf>
    <xf numFmtId="0" fontId="30" fillId="7" borderId="5" xfId="0" applyFont="1" applyFill="1" applyBorder="1" applyAlignment="1">
      <alignment horizontal="center" vertical="center" wrapText="1"/>
    </xf>
    <xf numFmtId="0" fontId="30" fillId="7" borderId="19" xfId="0" applyFont="1" applyFill="1" applyBorder="1" applyAlignment="1">
      <alignment horizontal="center" vertical="center" wrapText="1"/>
    </xf>
    <xf numFmtId="0" fontId="30" fillId="7" borderId="6" xfId="0" applyFont="1" applyFill="1" applyBorder="1" applyAlignment="1">
      <alignment horizontal="center" vertical="center" wrapText="1"/>
    </xf>
    <xf numFmtId="0" fontId="30" fillId="7" borderId="1" xfId="0" applyFont="1" applyFill="1" applyBorder="1" applyAlignment="1">
      <alignment horizontal="center" vertical="center" wrapText="1"/>
    </xf>
    <xf numFmtId="0" fontId="31" fillId="7" borderId="1" xfId="0" applyFont="1" applyFill="1" applyBorder="1" applyAlignment="1">
      <alignment horizontal="center" vertical="center" wrapText="1"/>
    </xf>
    <xf numFmtId="0" fontId="30" fillId="7" borderId="1" xfId="0" applyFont="1" applyFill="1" applyBorder="1" applyAlignment="1">
      <alignment horizontal="left" vertical="center" wrapText="1"/>
    </xf>
    <xf numFmtId="0" fontId="17" fillId="0" borderId="1" xfId="0" applyFont="1" applyBorder="1" applyAlignment="1">
      <alignment horizontal="right" vertical="center" wrapText="1"/>
    </xf>
    <xf numFmtId="0" fontId="14" fillId="0" borderId="0" xfId="0" applyFont="1" applyAlignment="1">
      <alignment horizontal="left" vertical="center"/>
    </xf>
    <xf numFmtId="0" fontId="22" fillId="4" borderId="22" xfId="0" applyFont="1" applyFill="1" applyBorder="1" applyAlignment="1">
      <alignment horizontal="left"/>
    </xf>
    <xf numFmtId="0" fontId="22" fillId="4" borderId="23" xfId="0" applyFont="1" applyFill="1" applyBorder="1" applyAlignment="1">
      <alignment horizontal="left"/>
    </xf>
    <xf numFmtId="0" fontId="22" fillId="4" borderId="24" xfId="0" applyFont="1" applyFill="1" applyBorder="1" applyAlignment="1">
      <alignment horizontal="left"/>
    </xf>
    <xf numFmtId="0" fontId="25" fillId="4" borderId="22" xfId="0" applyFont="1" applyFill="1" applyBorder="1" applyAlignment="1">
      <alignment horizontal="left"/>
    </xf>
    <xf numFmtId="0" fontId="25" fillId="4" borderId="23" xfId="0" applyFont="1" applyFill="1" applyBorder="1" applyAlignment="1">
      <alignment horizontal="left"/>
    </xf>
    <xf numFmtId="0" fontId="25" fillId="4" borderId="24" xfId="0" applyFont="1" applyFill="1" applyBorder="1" applyAlignment="1">
      <alignment horizontal="left"/>
    </xf>
    <xf numFmtId="0" fontId="0" fillId="0" borderId="1" xfId="0" applyBorder="1" applyAlignment="1">
      <alignment horizontal="left" wrapText="1"/>
    </xf>
    <xf numFmtId="0" fontId="31" fillId="7" borderId="10" xfId="0" applyFont="1" applyFill="1" applyBorder="1" applyAlignment="1">
      <alignment horizontal="left" vertical="center" wrapText="1"/>
    </xf>
    <xf numFmtId="0" fontId="31" fillId="7" borderId="15" xfId="0" applyFont="1" applyFill="1" applyBorder="1" applyAlignment="1">
      <alignment horizontal="left" vertical="center" wrapText="1"/>
    </xf>
    <xf numFmtId="0" fontId="31" fillId="7" borderId="8" xfId="0" applyFont="1" applyFill="1" applyBorder="1" applyAlignment="1">
      <alignment horizontal="left" vertical="center" wrapText="1"/>
    </xf>
    <xf numFmtId="0" fontId="31" fillId="7" borderId="12" xfId="0" applyFont="1" applyFill="1" applyBorder="1" applyAlignment="1">
      <alignment horizontal="left" vertical="center" wrapText="1"/>
    </xf>
    <xf numFmtId="0" fontId="16" fillId="0" borderId="5" xfId="0" applyFont="1" applyBorder="1" applyAlignment="1">
      <alignment horizontal="justify" vertical="center" wrapText="1"/>
    </xf>
    <xf numFmtId="0" fontId="16" fillId="0" borderId="6" xfId="0" applyFont="1" applyBorder="1" applyAlignment="1">
      <alignment horizontal="justify" vertical="center" wrapText="1"/>
    </xf>
    <xf numFmtId="0" fontId="16" fillId="0" borderId="2" xfId="0" applyFont="1" applyBorder="1" applyAlignment="1">
      <alignment horizontal="justify" vertical="center" wrapText="1"/>
    </xf>
    <xf numFmtId="0" fontId="16" fillId="0" borderId="3" xfId="0" applyFont="1" applyBorder="1" applyAlignment="1">
      <alignment horizontal="justify" vertical="center" wrapText="1"/>
    </xf>
    <xf numFmtId="0" fontId="16" fillId="0" borderId="4" xfId="0" applyFont="1" applyBorder="1" applyAlignment="1">
      <alignment horizontal="justify" vertical="center" wrapText="1"/>
    </xf>
    <xf numFmtId="0" fontId="20" fillId="0" borderId="1" xfId="0" applyFont="1" applyBorder="1" applyAlignment="1">
      <alignment horizontal="center" vertical="center" wrapText="1"/>
    </xf>
    <xf numFmtId="0" fontId="29" fillId="0" borderId="1" xfId="0" applyFont="1" applyBorder="1" applyAlignment="1">
      <alignment horizontal="left" wrapText="1"/>
    </xf>
    <xf numFmtId="0" fontId="7" fillId="0" borderId="1" xfId="0" applyFont="1" applyBorder="1" applyAlignment="1">
      <alignment horizontal="center"/>
    </xf>
    <xf numFmtId="0" fontId="7" fillId="4" borderId="1" xfId="0" applyFont="1" applyFill="1" applyBorder="1" applyAlignment="1">
      <alignment horizontal="left" vertical="center"/>
    </xf>
    <xf numFmtId="0" fontId="21" fillId="0" borderId="5" xfId="0" applyFont="1" applyBorder="1" applyAlignment="1">
      <alignment horizontal="center" vertical="center" wrapText="1"/>
    </xf>
    <xf numFmtId="0" fontId="21" fillId="0" borderId="19" xfId="0" applyFont="1" applyBorder="1" applyAlignment="1">
      <alignment horizontal="center" vertical="center" wrapText="1"/>
    </xf>
    <xf numFmtId="0" fontId="21" fillId="0" borderId="6" xfId="0" applyFont="1" applyBorder="1" applyAlignment="1">
      <alignment horizontal="center" vertical="center" wrapText="1"/>
    </xf>
    <xf numFmtId="0" fontId="39" fillId="0" borderId="10" xfId="0" applyFont="1" applyBorder="1" applyAlignment="1">
      <alignment horizontal="left" vertical="center" wrapText="1"/>
    </xf>
    <xf numFmtId="0" fontId="39" fillId="0" borderId="11" xfId="0" applyFont="1" applyBorder="1" applyAlignment="1">
      <alignment horizontal="left" vertical="center" wrapText="1"/>
    </xf>
    <xf numFmtId="0" fontId="39" fillId="0" borderId="15" xfId="0" applyFont="1" applyBorder="1" applyAlignment="1">
      <alignment horizontal="left" vertical="center" wrapText="1"/>
    </xf>
    <xf numFmtId="0" fontId="39" fillId="0" borderId="7" xfId="0" applyFont="1" applyBorder="1" applyAlignment="1">
      <alignment horizontal="left" vertical="center" wrapText="1"/>
    </xf>
    <xf numFmtId="0" fontId="39" fillId="0" borderId="0" xfId="0" applyFont="1" applyAlignment="1">
      <alignment horizontal="left" vertical="center" wrapText="1"/>
    </xf>
    <xf numFmtId="0" fontId="39" fillId="0" borderId="25" xfId="0" applyFont="1" applyBorder="1" applyAlignment="1">
      <alignment horizontal="left" vertical="center" wrapText="1"/>
    </xf>
    <xf numFmtId="0" fontId="39" fillId="0" borderId="8" xfId="0" applyFont="1" applyBorder="1" applyAlignment="1">
      <alignment horizontal="left" vertical="center" wrapText="1"/>
    </xf>
    <xf numFmtId="0" fontId="39" fillId="0" borderId="9" xfId="0" applyFont="1" applyBorder="1" applyAlignment="1">
      <alignment horizontal="left" vertical="center" wrapText="1"/>
    </xf>
    <xf numFmtId="0" fontId="39" fillId="0" borderId="12" xfId="0" applyFont="1" applyBorder="1" applyAlignment="1">
      <alignment horizontal="left" vertical="center" wrapText="1"/>
    </xf>
    <xf numFmtId="0" fontId="30" fillId="7" borderId="5" xfId="0" applyFont="1" applyFill="1" applyBorder="1" applyAlignment="1">
      <alignment horizontal="left" vertical="center" wrapText="1"/>
    </xf>
    <xf numFmtId="0" fontId="30" fillId="7" borderId="19" xfId="0" applyFont="1" applyFill="1" applyBorder="1" applyAlignment="1">
      <alignment horizontal="left" vertical="center" wrapText="1"/>
    </xf>
    <xf numFmtId="0" fontId="30" fillId="7" borderId="6" xfId="0" applyFont="1" applyFill="1" applyBorder="1" applyAlignment="1">
      <alignment horizontal="left" vertical="center" wrapText="1"/>
    </xf>
    <xf numFmtId="0" fontId="0" fillId="0" borderId="1" xfId="0" applyBorder="1" applyAlignment="1">
      <alignment horizontal="center"/>
    </xf>
    <xf numFmtId="0" fontId="64" fillId="0" borderId="2" xfId="0" applyFont="1" applyBorder="1" applyAlignment="1">
      <alignment vertical="center" wrapText="1"/>
    </xf>
    <xf numFmtId="0" fontId="64" fillId="0" borderId="4" xfId="0" applyFont="1" applyBorder="1" applyAlignment="1">
      <alignment vertical="center" wrapText="1"/>
    </xf>
    <xf numFmtId="0" fontId="64" fillId="0" borderId="2" xfId="0" applyFont="1" applyBorder="1" applyAlignment="1">
      <alignment horizontal="justify" vertical="center" wrapText="1"/>
    </xf>
    <xf numFmtId="0" fontId="64" fillId="0" borderId="4" xfId="0" applyFont="1" applyBorder="1" applyAlignment="1">
      <alignment horizontal="justify" vertical="center" wrapText="1"/>
    </xf>
    <xf numFmtId="0" fontId="20" fillId="0" borderId="5" xfId="0" applyFont="1" applyBorder="1" applyAlignment="1">
      <alignment horizontal="right" vertical="center" wrapText="1"/>
    </xf>
    <xf numFmtId="0" fontId="20" fillId="0" borderId="6" xfId="0" applyFont="1" applyBorder="1" applyAlignment="1">
      <alignment horizontal="right" vertical="center" wrapText="1"/>
    </xf>
    <xf numFmtId="0" fontId="64" fillId="0" borderId="5" xfId="0" applyFont="1" applyBorder="1" applyAlignment="1">
      <alignment horizontal="center" vertical="center" wrapText="1"/>
    </xf>
    <xf numFmtId="0" fontId="64" fillId="0" borderId="6" xfId="0" applyFont="1" applyBorder="1" applyAlignment="1">
      <alignment horizontal="center" vertical="center" wrapText="1"/>
    </xf>
    <xf numFmtId="0" fontId="64" fillId="0" borderId="19" xfId="0" applyFont="1" applyBorder="1" applyAlignment="1">
      <alignment horizontal="center" vertical="center" wrapText="1"/>
    </xf>
    <xf numFmtId="0" fontId="0" fillId="0" borderId="0" xfId="0" applyAlignment="1">
      <alignment horizontal="left" wrapText="1"/>
    </xf>
    <xf numFmtId="0" fontId="20" fillId="0" borderId="0" xfId="0" applyFont="1" applyAlignment="1">
      <alignment horizontal="center" vertical="center" wrapText="1"/>
    </xf>
    <xf numFmtId="0" fontId="20" fillId="0" borderId="2"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5" xfId="0" applyFont="1" applyBorder="1" applyAlignment="1">
      <alignment horizontal="left" vertical="center" wrapText="1"/>
    </xf>
    <xf numFmtId="0" fontId="20" fillId="0" borderId="6" xfId="0" applyFont="1" applyBorder="1" applyAlignment="1">
      <alignment horizontal="left" vertical="center" wrapText="1"/>
    </xf>
    <xf numFmtId="178" fontId="43" fillId="0" borderId="5" xfId="0" applyNumberFormat="1" applyFont="1" applyBorder="1" applyAlignment="1">
      <alignment horizontal="center" vertical="center" wrapText="1"/>
    </xf>
    <xf numFmtId="178" fontId="43" fillId="0" borderId="6" xfId="0" applyNumberFormat="1" applyFont="1" applyBorder="1" applyAlignment="1">
      <alignment horizontal="center" vertical="center" wrapText="1"/>
    </xf>
    <xf numFmtId="0" fontId="22" fillId="4" borderId="22" xfId="0" applyFont="1" applyFill="1" applyBorder="1" applyAlignment="1">
      <alignment horizontal="center"/>
    </xf>
    <xf numFmtId="0" fontId="22" fillId="4" borderId="23" xfId="0" applyFont="1" applyFill="1" applyBorder="1" applyAlignment="1">
      <alignment horizontal="center"/>
    </xf>
    <xf numFmtId="0" fontId="22" fillId="4" borderId="24" xfId="0" applyFont="1" applyFill="1" applyBorder="1" applyAlignment="1">
      <alignment horizontal="center"/>
    </xf>
    <xf numFmtId="0" fontId="0" fillId="4" borderId="22" xfId="0" applyFill="1" applyBorder="1" applyAlignment="1">
      <alignment horizontal="left"/>
    </xf>
    <xf numFmtId="0" fontId="0" fillId="4" borderId="23" xfId="0" applyFill="1" applyBorder="1" applyAlignment="1">
      <alignment horizontal="left"/>
    </xf>
    <xf numFmtId="0" fontId="0" fillId="4" borderId="30" xfId="0" applyFill="1" applyBorder="1" applyAlignment="1">
      <alignment horizontal="left"/>
    </xf>
    <xf numFmtId="0" fontId="0" fillId="4" borderId="31" xfId="0" applyFill="1" applyBorder="1" applyAlignment="1">
      <alignment horizontal="left"/>
    </xf>
    <xf numFmtId="0" fontId="20" fillId="0" borderId="19" xfId="0" applyFont="1" applyBorder="1" applyAlignment="1">
      <alignment horizontal="right" vertical="center" wrapText="1"/>
    </xf>
    <xf numFmtId="3" fontId="20" fillId="0" borderId="5" xfId="0" applyNumberFormat="1" applyFont="1" applyFill="1" applyBorder="1" applyAlignment="1">
      <alignment horizontal="right" vertical="center" wrapText="1"/>
    </xf>
    <xf numFmtId="3" fontId="20" fillId="0" borderId="6" xfId="0" applyNumberFormat="1" applyFont="1" applyFill="1" applyBorder="1" applyAlignment="1">
      <alignment horizontal="right" vertical="center" wrapText="1"/>
    </xf>
    <xf numFmtId="0" fontId="20" fillId="0" borderId="19" xfId="0" applyFont="1" applyBorder="1" applyAlignment="1">
      <alignment horizontal="left" vertical="center" wrapText="1"/>
    </xf>
    <xf numFmtId="3" fontId="20" fillId="12" borderId="5" xfId="0" applyNumberFormat="1" applyFont="1" applyFill="1" applyBorder="1" applyAlignment="1">
      <alignment horizontal="right" vertical="center" wrapText="1"/>
    </xf>
    <xf numFmtId="3" fontId="20" fillId="12" borderId="6" xfId="0" applyNumberFormat="1" applyFont="1" applyFill="1" applyBorder="1" applyAlignment="1">
      <alignment horizontal="right" vertical="center" wrapText="1"/>
    </xf>
    <xf numFmtId="3" fontId="23" fillId="12" borderId="5" xfId="0" applyNumberFormat="1" applyFont="1" applyFill="1" applyBorder="1" applyAlignment="1">
      <alignment horizontal="right" vertical="center" wrapText="1"/>
    </xf>
    <xf numFmtId="3" fontId="23" fillId="12" borderId="6" xfId="0" applyNumberFormat="1" applyFont="1" applyFill="1" applyBorder="1" applyAlignment="1">
      <alignment horizontal="right" vertical="center" wrapText="1"/>
    </xf>
    <xf numFmtId="0" fontId="20" fillId="0" borderId="11" xfId="0" applyFont="1" applyBorder="1" applyAlignment="1">
      <alignment horizontal="center" vertical="center" wrapText="1"/>
    </xf>
    <xf numFmtId="0" fontId="20" fillId="0" borderId="9" xfId="0" applyFont="1" applyBorder="1" applyAlignment="1">
      <alignment horizontal="center" vertical="center" wrapText="1"/>
    </xf>
    <xf numFmtId="176" fontId="20" fillId="0" borderId="5" xfId="0" applyNumberFormat="1" applyFont="1" applyBorder="1" applyAlignment="1">
      <alignment horizontal="justify" vertical="center" wrapText="1"/>
    </xf>
    <xf numFmtId="176" fontId="20" fillId="0" borderId="6" xfId="0" applyNumberFormat="1" applyFont="1" applyBorder="1" applyAlignment="1">
      <alignment horizontal="justify" vertical="center" wrapText="1"/>
    </xf>
    <xf numFmtId="2" fontId="20" fillId="0" borderId="5" xfId="0" applyNumberFormat="1" applyFont="1" applyBorder="1" applyAlignment="1">
      <alignment horizontal="left" vertical="center" wrapText="1"/>
    </xf>
    <xf numFmtId="2" fontId="20" fillId="0" borderId="6" xfId="0" applyNumberFormat="1" applyFont="1" applyBorder="1" applyAlignment="1">
      <alignment horizontal="left" vertical="center" wrapText="1"/>
    </xf>
  </cellXfs>
  <cellStyles count="3">
    <cellStyle name="一般" xfId="0" builtinId="0"/>
    <cellStyle name="千分位" xfId="1" builtinId="3"/>
    <cellStyle name="百分比" xfId="2" builtinId="5"/>
  </cellStyles>
  <dxfs count="0"/>
  <tableStyles count="0" defaultTableStyle="TableStyleMedium2" defaultPivotStyle="PivotStyleLight16"/>
  <colors>
    <mruColors>
      <color rgb="FF006699"/>
      <color rgb="FF990033"/>
      <color rgb="FFFF9999"/>
      <color rgb="FFFFCCCC"/>
      <color rgb="FFCC99FF"/>
      <color rgb="FF5F1D9B"/>
      <color rgb="FF952F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5665777626671"/>
          <c:y val="0.16315113737906495"/>
          <c:w val="0.82320767862685162"/>
          <c:h val="0.73660476349925597"/>
        </c:manualLayout>
      </c:layout>
      <c:pie3DChart>
        <c:varyColors val="1"/>
        <c:ser>
          <c:idx val="0"/>
          <c:order val="0"/>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FFD-4C2B-A938-F4BDFFF858E4}"/>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FFD-4C2B-A938-F4BDFFF858E4}"/>
              </c:ext>
            </c:extLst>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FFD-4C2B-A938-F4BDFFF858E4}"/>
              </c:ext>
            </c:extLst>
          </c:dPt>
          <c:dPt>
            <c:idx val="3"/>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FFD-4C2B-A938-F4BDFFF858E4}"/>
              </c:ext>
            </c:extLst>
          </c:dPt>
          <c:dLbls>
            <c:dLbl>
              <c:idx val="0"/>
              <c:layout>
                <c:manualLayout>
                  <c:x val="-0.2901935610617698"/>
                  <c:y val="-0.2356204397410881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微軟正黑體" panose="020B0604030504040204" pitchFamily="34" charset="-120"/>
                      <a:ea typeface="微軟正黑體" panose="020B0604030504040204" pitchFamily="34"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15:layout>
                    <c:manualLayout>
                      <c:w val="0.30849141347909126"/>
                      <c:h val="0.38024938631537469"/>
                    </c:manualLayout>
                  </c15:layout>
                </c:ext>
                <c:ext xmlns:c16="http://schemas.microsoft.com/office/drawing/2014/chart" uri="{C3380CC4-5D6E-409C-BE32-E72D297353CC}">
                  <c16:uniqueId val="{00000001-0FFD-4C2B-A938-F4BDFFF858E4}"/>
                </c:ext>
              </c:extLst>
            </c:dLbl>
            <c:dLbl>
              <c:idx val="1"/>
              <c:layout>
                <c:manualLayout>
                  <c:x val="-2.5316455696202549E-2"/>
                  <c:y val="0.1524601524601524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微軟正黑體" panose="020B0604030504040204" pitchFamily="34" charset="-120"/>
                      <a:ea typeface="微軟正黑體" panose="020B0604030504040204" pitchFamily="34"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FFD-4C2B-A938-F4BDFFF858E4}"/>
                </c:ext>
              </c:extLst>
            </c:dLbl>
            <c:dLbl>
              <c:idx val="2"/>
              <c:layout>
                <c:manualLayout>
                  <c:x val="2.5316455696202531E-2"/>
                  <c:y val="-2.07900207900207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微軟正黑體" panose="020B0604030504040204" pitchFamily="34" charset="-120"/>
                      <a:ea typeface="微軟正黑體" panose="020B0604030504040204" pitchFamily="34"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FFD-4C2B-A938-F4BDFFF858E4}"/>
                </c:ext>
              </c:extLst>
            </c:dLbl>
            <c:dLbl>
              <c:idx val="3"/>
              <c:layout>
                <c:manualLayout>
                  <c:x val="0.19563074949286485"/>
                  <c:y val="4.9984650131402315E-1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微軟正黑體" panose="020B0604030504040204" pitchFamily="34" charset="-120"/>
                      <a:ea typeface="微軟正黑體" panose="020B0604030504040204" pitchFamily="34"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15:layout>
                    <c:manualLayout>
                      <c:w val="0.27953074485754109"/>
                      <c:h val="0.23640464977125614"/>
                    </c:manualLayout>
                  </c15:layout>
                </c:ext>
                <c:ext xmlns:c16="http://schemas.microsoft.com/office/drawing/2014/chart" uri="{C3380CC4-5D6E-409C-BE32-E72D297353CC}">
                  <c16:uniqueId val="{00000007-0FFD-4C2B-A938-F4BDFFF858E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extLst>
          </c:dLbls>
          <c:cat>
            <c:strRef>
              <c:f>'1_本案應揭露之碳足跡數據與碳足跡組成圖'!$C$14:$C$17</c:f>
              <c:strCache>
                <c:ptCount val="4"/>
                <c:pt idx="0">
                  <c:v>資材製造運輸階段</c:v>
                </c:pt>
                <c:pt idx="1">
                  <c:v>施工階段</c:v>
                </c:pt>
                <c:pt idx="2">
                  <c:v>更新修繕階段</c:v>
                </c:pt>
                <c:pt idx="3">
                  <c:v>拆除廢棄階段</c:v>
                </c:pt>
              </c:strCache>
            </c:strRef>
          </c:cat>
          <c:val>
            <c:numRef>
              <c:f>'1_本案應揭露之碳足跡數據與碳足跡組成圖'!$D$14:$D$17</c:f>
              <c:numCache>
                <c:formatCode>#,##0</c:formatCode>
                <c:ptCount val="4"/>
                <c:pt idx="0">
                  <c:v>16583175.255897956</c:v>
                </c:pt>
                <c:pt idx="1">
                  <c:v>833128.25107952813</c:v>
                </c:pt>
                <c:pt idx="2">
                  <c:v>2358559.0925999996</c:v>
                </c:pt>
                <c:pt idx="3">
                  <c:v>1506325.6325321824</c:v>
                </c:pt>
              </c:numCache>
            </c:numRef>
          </c:val>
          <c:extLst>
            <c:ext xmlns:c16="http://schemas.microsoft.com/office/drawing/2014/chart" uri="{C3380CC4-5D6E-409C-BE32-E72D297353CC}">
              <c16:uniqueId val="{00000008-0FFD-4C2B-A938-F4BDFFF858E4}"/>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155971108982713"/>
          <c:y val="0.21612145224378776"/>
          <c:w val="0.81981562499285321"/>
          <c:h val="0.72946999088731368"/>
        </c:manualLayout>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BA14-49AD-9062-EAA0606C7AA4}"/>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BA14-49AD-9062-EAA0606C7AA4}"/>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A14-49AD-9062-EAA0606C7AA4}"/>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BA14-49AD-9062-EAA0606C7AA4}"/>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BA14-49AD-9062-EAA0606C7AA4}"/>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BA14-49AD-9062-EAA0606C7AA4}"/>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BA14-49AD-9062-EAA0606C7AA4}"/>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BA14-49AD-9062-EAA0606C7AA4}"/>
              </c:ext>
            </c:extLst>
          </c:dPt>
          <c:dLbls>
            <c:dLbl>
              <c:idx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微軟正黑體" panose="020B0604030504040204" pitchFamily="34" charset="-120"/>
                      <a:ea typeface="微軟正黑體" panose="020B0604030504040204" pitchFamily="34" charset="-120"/>
                      <a:cs typeface="+mn-cs"/>
                    </a:defRPr>
                  </a:pPr>
                  <a:endParaRPr lang="zh-TW"/>
                </a:p>
              </c:txPr>
              <c:dLblPos val="outEnd"/>
              <c:showLegendKey val="0"/>
              <c:showVal val="0"/>
              <c:showCatName val="1"/>
              <c:showSerName val="0"/>
              <c:showPercent val="1"/>
              <c:showBubbleSize val="0"/>
              <c:extLst>
                <c:ext xmlns:c16="http://schemas.microsoft.com/office/drawing/2014/chart" uri="{C3380CC4-5D6E-409C-BE32-E72D297353CC}">
                  <c16:uniqueId val="{00000001-BA14-49AD-9062-EAA0606C7AA4}"/>
                </c:ext>
              </c:extLst>
            </c:dLbl>
            <c:dLbl>
              <c:idx val="1"/>
              <c:layout>
                <c:manualLayout>
                  <c:x val="-2.921909327401774E-3"/>
                  <c:y val="8.095237878428467E-2"/>
                </c:manualLayout>
              </c:layout>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微軟正黑體" panose="020B0604030504040204" pitchFamily="34" charset="-120"/>
                      <a:ea typeface="微軟正黑體" panose="020B0604030504040204" pitchFamily="34"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A14-49AD-9062-EAA0606C7AA4}"/>
                </c:ext>
              </c:extLst>
            </c:dLbl>
            <c:dLbl>
              <c:idx val="2"/>
              <c:layout>
                <c:manualLayout>
                  <c:x val="-8.5023015848163436E-2"/>
                  <c:y val="-5.3003921421982174E-17"/>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微軟正黑體" panose="020B0604030504040204" pitchFamily="34" charset="-120"/>
                        <a:ea typeface="微軟正黑體" panose="020B0604030504040204" pitchFamily="34" charset="-120"/>
                        <a:cs typeface="+mn-cs"/>
                      </a:defRPr>
                    </a:pPr>
                    <a:fld id="{1F602730-B393-4002-A031-9DFCE45F3CE8}" type="CATEGORYNAME">
                      <a:rPr lang="zh-TW" altLang="en-US"/>
                      <a:pPr>
                        <a:defRPr/>
                      </a:pPr>
                      <a:t>[類別名稱]</a:t>
                    </a:fld>
                    <a:r>
                      <a:rPr lang="zh-TW" altLang="en-US"/>
                      <a:t> </a:t>
                    </a:r>
                    <a:fld id="{A276B80A-1842-4F7B-8372-C081CA39446C}" type="PERCENTAGE">
                      <a:rPr lang="en-US" altLang="zh-TW"/>
                      <a:pPr>
                        <a:defRPr/>
                      </a:pPr>
                      <a:t>[百分比]</a:t>
                    </a:fld>
                    <a:endParaRPr lang="zh-TW" altLang="en-US"/>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微軟正黑體" panose="020B0604030504040204" pitchFamily="34" charset="-120"/>
                      <a:ea typeface="微軟正黑體" panose="020B0604030504040204" pitchFamily="34"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15:layout>
                    <c:manualLayout>
                      <c:w val="0.19582636312246735"/>
                      <c:h val="0.15736586969398816"/>
                    </c:manualLayout>
                  </c15:layout>
                  <c15:dlblFieldTable/>
                  <c15:showDataLabelsRange val="0"/>
                </c:ext>
                <c:ext xmlns:c16="http://schemas.microsoft.com/office/drawing/2014/chart" uri="{C3380CC4-5D6E-409C-BE32-E72D297353CC}">
                  <c16:uniqueId val="{00000005-BA14-49AD-9062-EAA0606C7AA4}"/>
                </c:ext>
              </c:extLst>
            </c:dLbl>
            <c:dLbl>
              <c:idx val="3"/>
              <c:layout>
                <c:manualLayout>
                  <c:x val="0"/>
                  <c:y val="0.15213173838631591"/>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微軟正黑體" panose="020B0604030504040204" pitchFamily="34" charset="-120"/>
                        <a:ea typeface="微軟正黑體" panose="020B0604030504040204" pitchFamily="34" charset="-120"/>
                        <a:cs typeface="+mn-cs"/>
                      </a:defRPr>
                    </a:pPr>
                    <a:fld id="{A575E729-56FB-48A0-A710-DBFAAC25D8F9}" type="CATEGORYNAME">
                      <a:rPr lang="zh-TW" altLang="en-US"/>
                      <a:pPr>
                        <a:defRPr/>
                      </a:pPr>
                      <a:t>[類別名稱]</a:t>
                    </a:fld>
                    <a:r>
                      <a:rPr lang="en-US" altLang="zh-TW"/>
                      <a:t>,</a:t>
                    </a:r>
                    <a:fld id="{B4139507-0BFC-49AE-A2E7-6A8A3E2AF49D}" type="PERCENTAGE">
                      <a:rPr lang="en-US" altLang="zh-TW" baseline="0"/>
                      <a:pPr>
                        <a:defRPr/>
                      </a:pPr>
                      <a:t>[百分比]</a:t>
                    </a:fld>
                    <a:endParaRPr lang="en-US" altLang="zh-TW"/>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微軟正黑體" panose="020B0604030504040204" pitchFamily="34" charset="-120"/>
                      <a:ea typeface="微軟正黑體" panose="020B0604030504040204" pitchFamily="34"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15:layout>
                    <c:manualLayout>
                      <c:w val="0.25145951671619726"/>
                      <c:h val="0.16314818246429422"/>
                    </c:manualLayout>
                  </c15:layout>
                  <c15:dlblFieldTable/>
                  <c15:showDataLabelsRange val="0"/>
                </c:ext>
                <c:ext xmlns:c16="http://schemas.microsoft.com/office/drawing/2014/chart" uri="{C3380CC4-5D6E-409C-BE32-E72D297353CC}">
                  <c16:uniqueId val="{00000007-BA14-49AD-9062-EAA0606C7AA4}"/>
                </c:ext>
              </c:extLst>
            </c:dLbl>
            <c:dLbl>
              <c:idx val="4"/>
              <c:layout>
                <c:manualLayout>
                  <c:x val="-9.9551452811302441E-2"/>
                  <c:y val="-0.15901360118341631"/>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微軟正黑體" panose="020B0604030504040204" pitchFamily="34" charset="-120"/>
                        <a:ea typeface="微軟正黑體" panose="020B0604030504040204" pitchFamily="34" charset="-120"/>
                        <a:cs typeface="+mn-cs"/>
                      </a:defRPr>
                    </a:pPr>
                    <a:fld id="{1946A6D3-104D-4272-B6CC-5547FA3991D6}" type="CATEGORYNAME">
                      <a:rPr lang="zh-TW" altLang="en-US"/>
                      <a:pPr>
                        <a:defRPr/>
                      </a:pPr>
                      <a:t>[類別名稱]</a:t>
                    </a:fld>
                    <a:r>
                      <a:rPr lang="zh-TW" altLang="en-US"/>
                      <a:t> </a:t>
                    </a:r>
                    <a:r>
                      <a:rPr lang="en-US" altLang="zh-TW"/>
                      <a:t>, </a:t>
                    </a:r>
                    <a:fld id="{74F35A86-8D7E-4B75-AD0E-525E30A9BAC4}" type="PERCENTAGE">
                      <a:rPr lang="en-US" altLang="zh-TW" baseline="0"/>
                      <a:pPr>
                        <a:defRPr/>
                      </a:pPr>
                      <a:t>[百分比]</a:t>
                    </a:fld>
                    <a:endParaRPr lang="en-US" altLang="zh-TW"/>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微軟正黑體" panose="020B0604030504040204" pitchFamily="34" charset="-120"/>
                      <a:ea typeface="微軟正黑體" panose="020B0604030504040204" pitchFamily="34"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15:layout>
                    <c:manualLayout>
                      <c:w val="0.18058332730447324"/>
                      <c:h val="0.14580124415337609"/>
                    </c:manualLayout>
                  </c15:layout>
                  <c15:dlblFieldTable/>
                  <c15:showDataLabelsRange val="0"/>
                </c:ext>
                <c:ext xmlns:c16="http://schemas.microsoft.com/office/drawing/2014/chart" uri="{C3380CC4-5D6E-409C-BE32-E72D297353CC}">
                  <c16:uniqueId val="{00000009-BA14-49AD-9062-EAA0606C7AA4}"/>
                </c:ext>
              </c:extLst>
            </c:dLbl>
            <c:dLbl>
              <c:idx val="5"/>
              <c:layout>
                <c:manualLayout>
                  <c:x val="2.0453365291812464E-2"/>
                  <c:y val="-0.18503400864979355"/>
                </c:manualLayout>
              </c:layout>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微軟正黑體" panose="020B0604030504040204" pitchFamily="34" charset="-120"/>
                      <a:ea typeface="微軟正黑體" panose="020B0604030504040204" pitchFamily="34"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BA14-49AD-9062-EAA0606C7AA4}"/>
                </c:ext>
              </c:extLst>
            </c:dLbl>
            <c:dLbl>
              <c:idx val="6"/>
              <c:layout>
                <c:manualLayout>
                  <c:x val="7.0125823857642738E-2"/>
                  <c:y val="-8.095237878428467E-2"/>
                </c:manualLayout>
              </c:layout>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微軟正黑體" panose="020B0604030504040204" pitchFamily="34" charset="-120"/>
                      <a:ea typeface="微軟正黑體" panose="020B0604030504040204" pitchFamily="34"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BA14-49AD-9062-EAA0606C7AA4}"/>
                </c:ext>
              </c:extLst>
            </c:dLbl>
            <c:dLbl>
              <c:idx val="7"/>
              <c:layout>
                <c:manualLayout>
                  <c:x val="7.5969642512446187E-2"/>
                  <c:y val="-1.1564625540612097E-2"/>
                </c:manualLayout>
              </c:layout>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微軟正黑體" panose="020B0604030504040204" pitchFamily="34" charset="-120"/>
                      <a:ea typeface="微軟正黑體" panose="020B0604030504040204" pitchFamily="34"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BA14-49AD-9062-EAA0606C7AA4}"/>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報告書圖表!$B$13:$B$20</c:f>
              <c:strCache>
                <c:ptCount val="8"/>
                <c:pt idx="0">
                  <c:v>主結構體</c:v>
                </c:pt>
                <c:pt idx="1">
                  <c:v>外牆外裝</c:v>
                </c:pt>
                <c:pt idx="2">
                  <c:v>外窗</c:v>
                </c:pt>
                <c:pt idx="3">
                  <c:v>不透光帷幕牆</c:v>
                </c:pt>
                <c:pt idx="4">
                  <c:v>內隔間</c:v>
                </c:pt>
                <c:pt idx="5">
                  <c:v>屋頂防水隔熱</c:v>
                </c:pt>
                <c:pt idx="6">
                  <c:v>室內地坪</c:v>
                </c:pt>
                <c:pt idx="7">
                  <c:v>戶外地坪</c:v>
                </c:pt>
              </c:strCache>
            </c:strRef>
          </c:cat>
          <c:val>
            <c:numRef>
              <c:f>報告書圖表!$G$13:$G$20</c:f>
              <c:numCache>
                <c:formatCode>#,##0</c:formatCode>
                <c:ptCount val="8"/>
                <c:pt idx="0">
                  <c:v>12554165.993097955</c:v>
                </c:pt>
                <c:pt idx="1">
                  <c:v>1960340.2199999997</c:v>
                </c:pt>
                <c:pt idx="2">
                  <c:v>234652.24350000001</c:v>
                </c:pt>
                <c:pt idx="3">
                  <c:v>0</c:v>
                </c:pt>
                <c:pt idx="4">
                  <c:v>310658</c:v>
                </c:pt>
                <c:pt idx="5">
                  <c:v>920515.17240000004</c:v>
                </c:pt>
                <c:pt idx="6">
                  <c:v>2345119.0506000002</c:v>
                </c:pt>
                <c:pt idx="7">
                  <c:v>616283.66890000005</c:v>
                </c:pt>
              </c:numCache>
            </c:numRef>
          </c:val>
          <c:extLst>
            <c:ext xmlns:c16="http://schemas.microsoft.com/office/drawing/2014/chart" uri="{C3380CC4-5D6E-409C-BE32-E72D297353CC}">
              <c16:uniqueId val="{00000010-BA14-49AD-9062-EAA0606C7AA4}"/>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微軟正黑體" panose="020B0604030504040204" pitchFamily="34" charset="-120"/>
          <a:ea typeface="微軟正黑體" panose="020B0604030504040204" pitchFamily="34" charset="-120"/>
        </a:defRPr>
      </a:pPr>
      <a:endParaRPr lang="zh-TW"/>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報告書圖表!$C$2</c:f>
              <c:strCache>
                <c:ptCount val="1"/>
                <c:pt idx="0">
                  <c:v>新建</c:v>
                </c:pt>
              </c:strCache>
            </c:strRef>
          </c:tx>
          <c:spPr>
            <a:solidFill>
              <a:schemeClr val="accent6">
                <a:lumMod val="60000"/>
                <a:lumOff val="40000"/>
              </a:schemeClr>
            </a:solidFill>
            <a:ln>
              <a:noFill/>
            </a:ln>
            <a:effectLst/>
          </c:spPr>
          <c:invertIfNegative val="0"/>
          <c:dLbls>
            <c:delete val="1"/>
          </c:dLbls>
          <c:cat>
            <c:strRef>
              <c:f>報告書圖表!$B$3:$B$10</c:f>
              <c:strCache>
                <c:ptCount val="8"/>
                <c:pt idx="0">
                  <c:v>主結構體</c:v>
                </c:pt>
                <c:pt idx="1">
                  <c:v>外牆外裝</c:v>
                </c:pt>
                <c:pt idx="2">
                  <c:v>外窗</c:v>
                </c:pt>
                <c:pt idx="3">
                  <c:v>不透光帷幕牆</c:v>
                </c:pt>
                <c:pt idx="4">
                  <c:v>內隔間</c:v>
                </c:pt>
                <c:pt idx="5">
                  <c:v>屋頂防水隔熱</c:v>
                </c:pt>
                <c:pt idx="6">
                  <c:v>室內地坪</c:v>
                </c:pt>
                <c:pt idx="7">
                  <c:v>戶外地坪</c:v>
                </c:pt>
              </c:strCache>
            </c:strRef>
          </c:cat>
          <c:val>
            <c:numRef>
              <c:f>報告書圖表!$C$3:$C$10</c:f>
              <c:numCache>
                <c:formatCode>General</c:formatCode>
                <c:ptCount val="8"/>
                <c:pt idx="0" formatCode="#,##0">
                  <c:v>12554165.993097955</c:v>
                </c:pt>
                <c:pt idx="1">
                  <c:v>1112683.8999999999</c:v>
                </c:pt>
                <c:pt idx="2">
                  <c:v>234652.24350000001</c:v>
                </c:pt>
                <c:pt idx="3">
                  <c:v>0</c:v>
                </c:pt>
                <c:pt idx="4">
                  <c:v>310658</c:v>
                </c:pt>
                <c:pt idx="5">
                  <c:v>153419.1954</c:v>
                </c:pt>
                <c:pt idx="6">
                  <c:v>1797338.9286000002</c:v>
                </c:pt>
                <c:pt idx="7">
                  <c:v>420256.99530000001</c:v>
                </c:pt>
              </c:numCache>
            </c:numRef>
          </c:val>
          <c:extLst>
            <c:ext xmlns:c16="http://schemas.microsoft.com/office/drawing/2014/chart" uri="{C3380CC4-5D6E-409C-BE32-E72D297353CC}">
              <c16:uniqueId val="{00000000-8F53-45D8-9819-D13B50E85BFC}"/>
            </c:ext>
          </c:extLst>
        </c:ser>
        <c:ser>
          <c:idx val="1"/>
          <c:order val="1"/>
          <c:tx>
            <c:strRef>
              <c:f>報告書圖表!$D$2</c:f>
              <c:strCache>
                <c:ptCount val="1"/>
                <c:pt idx="0">
                  <c:v>修繕</c:v>
                </c:pt>
              </c:strCache>
            </c:strRef>
          </c:tx>
          <c:spPr>
            <a:solidFill>
              <a:schemeClr val="accent2">
                <a:lumMod val="60000"/>
                <a:lumOff val="40000"/>
              </a:schemeClr>
            </a:solidFill>
            <a:ln>
              <a:noFill/>
            </a:ln>
            <a:effectLst/>
          </c:spPr>
          <c:invertIfNegative val="0"/>
          <c:dLbls>
            <c:delete val="1"/>
          </c:dLbls>
          <c:cat>
            <c:strRef>
              <c:f>報告書圖表!$B$3:$B$10</c:f>
              <c:strCache>
                <c:ptCount val="8"/>
                <c:pt idx="0">
                  <c:v>主結構體</c:v>
                </c:pt>
                <c:pt idx="1">
                  <c:v>外牆外裝</c:v>
                </c:pt>
                <c:pt idx="2">
                  <c:v>外窗</c:v>
                </c:pt>
                <c:pt idx="3">
                  <c:v>不透光帷幕牆</c:v>
                </c:pt>
                <c:pt idx="4">
                  <c:v>內隔間</c:v>
                </c:pt>
                <c:pt idx="5">
                  <c:v>屋頂防水隔熱</c:v>
                </c:pt>
                <c:pt idx="6">
                  <c:v>室內地坪</c:v>
                </c:pt>
                <c:pt idx="7">
                  <c:v>戶外地坪</c:v>
                </c:pt>
              </c:strCache>
            </c:strRef>
          </c:cat>
          <c:val>
            <c:numRef>
              <c:f>報告書圖表!$D$3:$D$10</c:f>
              <c:numCache>
                <c:formatCode>#,##0</c:formatCode>
                <c:ptCount val="8"/>
                <c:pt idx="0" formatCode="General">
                  <c:v>0</c:v>
                </c:pt>
                <c:pt idx="1">
                  <c:v>847656.32</c:v>
                </c:pt>
                <c:pt idx="2" formatCode="General">
                  <c:v>0</c:v>
                </c:pt>
                <c:pt idx="3" formatCode="General">
                  <c:v>0</c:v>
                </c:pt>
                <c:pt idx="4" formatCode="General">
                  <c:v>0</c:v>
                </c:pt>
                <c:pt idx="5" formatCode="_(* #,##0.00_);_(* \(#,##0.00\);_(* &quot;-&quot;??_);_(@_)">
                  <c:v>767095.97700000007</c:v>
                </c:pt>
                <c:pt idx="6" formatCode="_(* #,##0.00_);_(* \(#,##0.00\);_(* &quot;-&quot;??_);_(@_)">
                  <c:v>547780.12199999997</c:v>
                </c:pt>
                <c:pt idx="7" formatCode="_(* #,##0.00_);_(* \(#,##0.00\);_(* &quot;-&quot;??_);_(@_)">
                  <c:v>196026.67360000001</c:v>
                </c:pt>
              </c:numCache>
            </c:numRef>
          </c:val>
          <c:extLst>
            <c:ext xmlns:c16="http://schemas.microsoft.com/office/drawing/2014/chart" uri="{C3380CC4-5D6E-409C-BE32-E72D297353CC}">
              <c16:uniqueId val="{00000001-8F53-45D8-9819-D13B50E85BFC}"/>
            </c:ext>
          </c:extLst>
        </c:ser>
        <c:dLbls>
          <c:showLegendKey val="0"/>
          <c:showVal val="1"/>
          <c:showCatName val="0"/>
          <c:showSerName val="0"/>
          <c:showPercent val="0"/>
          <c:showBubbleSize val="0"/>
        </c:dLbls>
        <c:gapWidth val="150"/>
        <c:overlap val="100"/>
        <c:axId val="700966863"/>
        <c:axId val="700979759"/>
      </c:barChart>
      <c:catAx>
        <c:axId val="70096686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crossAx val="700979759"/>
        <c:crosses val="autoZero"/>
        <c:auto val="1"/>
        <c:lblAlgn val="ctr"/>
        <c:lblOffset val="100"/>
        <c:noMultiLvlLbl val="0"/>
      </c:catAx>
      <c:valAx>
        <c:axId val="700979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crossAx val="7009668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微軟正黑體" panose="020B0604030504040204" pitchFamily="34" charset="-120"/>
                <a:ea typeface="微軟正黑體" panose="020B0604030504040204" pitchFamily="34" charset="-120"/>
                <a:cs typeface="+mn-cs"/>
              </a:defRPr>
            </a:pPr>
            <a:endParaRPr lang="zh-TW"/>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微軟正黑體" panose="020B0604030504040204" pitchFamily="34" charset="-120"/>
              <a:ea typeface="微軟正黑體" panose="020B0604030504040204" pitchFamily="34" charset="-120"/>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00"/>
      </a:pPr>
      <a:endParaRPr lang="zh-TW"/>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報告書圖表!$C$2</c:f>
              <c:strCache>
                <c:ptCount val="1"/>
                <c:pt idx="0">
                  <c:v>新建</c:v>
                </c:pt>
              </c:strCache>
            </c:strRef>
          </c:tx>
          <c:spPr>
            <a:solidFill>
              <a:schemeClr val="accent6">
                <a:lumMod val="60000"/>
                <a:lumOff val="40000"/>
              </a:schemeClr>
            </a:solidFill>
            <a:ln>
              <a:noFill/>
            </a:ln>
            <a:effectLst/>
          </c:spPr>
          <c:invertIfNegative val="0"/>
          <c:dLbls>
            <c:delete val="1"/>
          </c:dLbls>
          <c:cat>
            <c:strRef>
              <c:f>報告書圖表!$B$3:$B$10</c:f>
              <c:strCache>
                <c:ptCount val="8"/>
                <c:pt idx="0">
                  <c:v>主結構體</c:v>
                </c:pt>
                <c:pt idx="1">
                  <c:v>外牆外裝</c:v>
                </c:pt>
                <c:pt idx="2">
                  <c:v>外窗</c:v>
                </c:pt>
                <c:pt idx="3">
                  <c:v>不透光帷幕牆</c:v>
                </c:pt>
                <c:pt idx="4">
                  <c:v>內隔間</c:v>
                </c:pt>
                <c:pt idx="5">
                  <c:v>屋頂防水隔熱</c:v>
                </c:pt>
                <c:pt idx="6">
                  <c:v>室內地坪</c:v>
                </c:pt>
                <c:pt idx="7">
                  <c:v>戶外地坪</c:v>
                </c:pt>
              </c:strCache>
            </c:strRef>
          </c:cat>
          <c:val>
            <c:numRef>
              <c:f>報告書圖表!$C$3:$C$10</c:f>
              <c:numCache>
                <c:formatCode>General</c:formatCode>
                <c:ptCount val="8"/>
                <c:pt idx="0" formatCode="#,##0">
                  <c:v>12554165.993097955</c:v>
                </c:pt>
                <c:pt idx="1">
                  <c:v>1112683.8999999999</c:v>
                </c:pt>
                <c:pt idx="2">
                  <c:v>234652.24350000001</c:v>
                </c:pt>
                <c:pt idx="3">
                  <c:v>0</c:v>
                </c:pt>
                <c:pt idx="4">
                  <c:v>310658</c:v>
                </c:pt>
                <c:pt idx="5">
                  <c:v>153419.1954</c:v>
                </c:pt>
                <c:pt idx="6">
                  <c:v>1797338.9286000002</c:v>
                </c:pt>
                <c:pt idx="7">
                  <c:v>420256.99530000001</c:v>
                </c:pt>
              </c:numCache>
            </c:numRef>
          </c:val>
          <c:extLst>
            <c:ext xmlns:c16="http://schemas.microsoft.com/office/drawing/2014/chart" uri="{C3380CC4-5D6E-409C-BE32-E72D297353CC}">
              <c16:uniqueId val="{00000000-6C0B-4CC3-BC8A-5A041D2CECBF}"/>
            </c:ext>
          </c:extLst>
        </c:ser>
        <c:ser>
          <c:idx val="1"/>
          <c:order val="1"/>
          <c:tx>
            <c:strRef>
              <c:f>報告書圖表!$D$2</c:f>
              <c:strCache>
                <c:ptCount val="1"/>
                <c:pt idx="0">
                  <c:v>修繕</c:v>
                </c:pt>
              </c:strCache>
            </c:strRef>
          </c:tx>
          <c:spPr>
            <a:solidFill>
              <a:schemeClr val="accent2">
                <a:lumMod val="60000"/>
                <a:lumOff val="40000"/>
              </a:schemeClr>
            </a:solidFill>
            <a:ln>
              <a:noFill/>
            </a:ln>
            <a:effectLst/>
          </c:spPr>
          <c:invertIfNegative val="0"/>
          <c:dLbls>
            <c:delete val="1"/>
          </c:dLbls>
          <c:cat>
            <c:strRef>
              <c:f>報告書圖表!$B$3:$B$10</c:f>
              <c:strCache>
                <c:ptCount val="8"/>
                <c:pt idx="0">
                  <c:v>主結構體</c:v>
                </c:pt>
                <c:pt idx="1">
                  <c:v>外牆外裝</c:v>
                </c:pt>
                <c:pt idx="2">
                  <c:v>外窗</c:v>
                </c:pt>
                <c:pt idx="3">
                  <c:v>不透光帷幕牆</c:v>
                </c:pt>
                <c:pt idx="4">
                  <c:v>內隔間</c:v>
                </c:pt>
                <c:pt idx="5">
                  <c:v>屋頂防水隔熱</c:v>
                </c:pt>
                <c:pt idx="6">
                  <c:v>室內地坪</c:v>
                </c:pt>
                <c:pt idx="7">
                  <c:v>戶外地坪</c:v>
                </c:pt>
              </c:strCache>
            </c:strRef>
          </c:cat>
          <c:val>
            <c:numRef>
              <c:f>報告書圖表!$D$3:$D$10</c:f>
              <c:numCache>
                <c:formatCode>#,##0</c:formatCode>
                <c:ptCount val="8"/>
                <c:pt idx="0" formatCode="General">
                  <c:v>0</c:v>
                </c:pt>
                <c:pt idx="1">
                  <c:v>847656.32</c:v>
                </c:pt>
                <c:pt idx="2" formatCode="General">
                  <c:v>0</c:v>
                </c:pt>
                <c:pt idx="3" formatCode="General">
                  <c:v>0</c:v>
                </c:pt>
                <c:pt idx="4" formatCode="General">
                  <c:v>0</c:v>
                </c:pt>
                <c:pt idx="5" formatCode="_(* #,##0.00_);_(* \(#,##0.00\);_(* &quot;-&quot;??_);_(@_)">
                  <c:v>767095.97700000007</c:v>
                </c:pt>
                <c:pt idx="6" formatCode="_(* #,##0.00_);_(* \(#,##0.00\);_(* &quot;-&quot;??_);_(@_)">
                  <c:v>547780.12199999997</c:v>
                </c:pt>
                <c:pt idx="7" formatCode="_(* #,##0.00_);_(* \(#,##0.00\);_(* &quot;-&quot;??_);_(@_)">
                  <c:v>196026.67360000001</c:v>
                </c:pt>
              </c:numCache>
            </c:numRef>
          </c:val>
          <c:extLst>
            <c:ext xmlns:c16="http://schemas.microsoft.com/office/drawing/2014/chart" uri="{C3380CC4-5D6E-409C-BE32-E72D297353CC}">
              <c16:uniqueId val="{00000001-6C0B-4CC3-BC8A-5A041D2CECBF}"/>
            </c:ext>
          </c:extLst>
        </c:ser>
        <c:dLbls>
          <c:showLegendKey val="0"/>
          <c:showVal val="1"/>
          <c:showCatName val="0"/>
          <c:showSerName val="0"/>
          <c:showPercent val="0"/>
          <c:showBubbleSize val="0"/>
        </c:dLbls>
        <c:gapWidth val="150"/>
        <c:overlap val="100"/>
        <c:axId val="700966863"/>
        <c:axId val="700979759"/>
      </c:barChart>
      <c:catAx>
        <c:axId val="70096686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crossAx val="700979759"/>
        <c:crosses val="autoZero"/>
        <c:auto val="1"/>
        <c:lblAlgn val="ctr"/>
        <c:lblOffset val="100"/>
        <c:noMultiLvlLbl val="0"/>
      </c:catAx>
      <c:valAx>
        <c:axId val="700979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crossAx val="7009668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微軟正黑體" panose="020B0604030504040204" pitchFamily="34" charset="-120"/>
                <a:ea typeface="微軟正黑體" panose="020B0604030504040204" pitchFamily="34" charset="-120"/>
                <a:cs typeface="+mn-cs"/>
              </a:defRPr>
            </a:pPr>
            <a:endParaRPr lang="zh-TW"/>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微軟正黑體" panose="020B0604030504040204" pitchFamily="34" charset="-120"/>
              <a:ea typeface="微軟正黑體" panose="020B0604030504040204" pitchFamily="34" charset="-120"/>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00"/>
      </a:pPr>
      <a:endParaRPr lang="zh-TW"/>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報告書圖表!$B$13</c:f>
              <c:strCache>
                <c:ptCount val="1"/>
                <c:pt idx="0">
                  <c:v>主結構體</c:v>
                </c:pt>
              </c:strCache>
            </c:strRef>
          </c:tx>
          <c:spPr>
            <a:solidFill>
              <a:schemeClr val="accent1">
                <a:lumMod val="60000"/>
                <a:lumOff val="40000"/>
              </a:schemeClr>
            </a:solidFill>
            <a:ln>
              <a:noFill/>
            </a:ln>
            <a:effectLst/>
          </c:spPr>
          <c:invertIfNegative val="0"/>
          <c:cat>
            <c:strRef>
              <c:f>報告書圖表!$C$12:$F$12</c:f>
              <c:strCache>
                <c:ptCount val="4"/>
                <c:pt idx="0">
                  <c:v>設計案新建</c:v>
                </c:pt>
                <c:pt idx="1">
                  <c:v>設計案修繕</c:v>
                </c:pt>
                <c:pt idx="2">
                  <c:v>基準案新建</c:v>
                </c:pt>
                <c:pt idx="3">
                  <c:v>基準案修繕</c:v>
                </c:pt>
              </c:strCache>
            </c:strRef>
          </c:cat>
          <c:val>
            <c:numRef>
              <c:f>報告書圖表!$C$13:$F$13</c:f>
              <c:numCache>
                <c:formatCode>#,##0</c:formatCode>
                <c:ptCount val="4"/>
                <c:pt idx="0">
                  <c:v>12554165.993097955</c:v>
                </c:pt>
                <c:pt idx="1">
                  <c:v>0</c:v>
                </c:pt>
                <c:pt idx="2">
                  <c:v>15620641.409835001</c:v>
                </c:pt>
                <c:pt idx="3">
                  <c:v>0</c:v>
                </c:pt>
              </c:numCache>
            </c:numRef>
          </c:val>
          <c:extLst>
            <c:ext xmlns:c16="http://schemas.microsoft.com/office/drawing/2014/chart" uri="{C3380CC4-5D6E-409C-BE32-E72D297353CC}">
              <c16:uniqueId val="{00000000-A2F9-40F5-BD0C-B66AB90BDD6A}"/>
            </c:ext>
          </c:extLst>
        </c:ser>
        <c:ser>
          <c:idx val="1"/>
          <c:order val="1"/>
          <c:tx>
            <c:strRef>
              <c:f>報告書圖表!$B$14</c:f>
              <c:strCache>
                <c:ptCount val="1"/>
                <c:pt idx="0">
                  <c:v>外牆外裝</c:v>
                </c:pt>
              </c:strCache>
            </c:strRef>
          </c:tx>
          <c:spPr>
            <a:solidFill>
              <a:srgbClr val="FFC000"/>
            </a:solidFill>
            <a:ln>
              <a:noFill/>
            </a:ln>
            <a:effectLst/>
          </c:spPr>
          <c:invertIfNegative val="0"/>
          <c:cat>
            <c:strRef>
              <c:f>報告書圖表!$C$12:$F$12</c:f>
              <c:strCache>
                <c:ptCount val="4"/>
                <c:pt idx="0">
                  <c:v>設計案新建</c:v>
                </c:pt>
                <c:pt idx="1">
                  <c:v>設計案修繕</c:v>
                </c:pt>
                <c:pt idx="2">
                  <c:v>基準案新建</c:v>
                </c:pt>
                <c:pt idx="3">
                  <c:v>基準案修繕</c:v>
                </c:pt>
              </c:strCache>
            </c:strRef>
          </c:cat>
          <c:val>
            <c:numRef>
              <c:f>報告書圖表!$C$14:$F$14</c:f>
              <c:numCache>
                <c:formatCode>#,##0</c:formatCode>
                <c:ptCount val="4"/>
                <c:pt idx="0">
                  <c:v>1112683.8999999999</c:v>
                </c:pt>
                <c:pt idx="1">
                  <c:v>847656.32</c:v>
                </c:pt>
                <c:pt idx="2">
                  <c:v>1267583.8999999999</c:v>
                </c:pt>
                <c:pt idx="3">
                  <c:v>888356.32</c:v>
                </c:pt>
              </c:numCache>
            </c:numRef>
          </c:val>
          <c:extLst>
            <c:ext xmlns:c16="http://schemas.microsoft.com/office/drawing/2014/chart" uri="{C3380CC4-5D6E-409C-BE32-E72D297353CC}">
              <c16:uniqueId val="{00000001-A2F9-40F5-BD0C-B66AB90BDD6A}"/>
            </c:ext>
          </c:extLst>
        </c:ser>
        <c:ser>
          <c:idx val="2"/>
          <c:order val="2"/>
          <c:tx>
            <c:strRef>
              <c:f>報告書圖表!$B$15</c:f>
              <c:strCache>
                <c:ptCount val="1"/>
                <c:pt idx="0">
                  <c:v>外窗</c:v>
                </c:pt>
              </c:strCache>
            </c:strRef>
          </c:tx>
          <c:spPr>
            <a:solidFill>
              <a:srgbClr val="FF9999"/>
            </a:solidFill>
            <a:ln>
              <a:noFill/>
            </a:ln>
            <a:effectLst/>
          </c:spPr>
          <c:invertIfNegative val="0"/>
          <c:cat>
            <c:strRef>
              <c:f>報告書圖表!$C$12:$F$12</c:f>
              <c:strCache>
                <c:ptCount val="4"/>
                <c:pt idx="0">
                  <c:v>設計案新建</c:v>
                </c:pt>
                <c:pt idx="1">
                  <c:v>設計案修繕</c:v>
                </c:pt>
                <c:pt idx="2">
                  <c:v>基準案新建</c:v>
                </c:pt>
                <c:pt idx="3">
                  <c:v>基準案修繕</c:v>
                </c:pt>
              </c:strCache>
            </c:strRef>
          </c:cat>
          <c:val>
            <c:numRef>
              <c:f>報告書圖表!$C$15:$F$15</c:f>
              <c:numCache>
                <c:formatCode>#,##0</c:formatCode>
                <c:ptCount val="4"/>
                <c:pt idx="0">
                  <c:v>234652.24350000001</c:v>
                </c:pt>
                <c:pt idx="1">
                  <c:v>0</c:v>
                </c:pt>
                <c:pt idx="2">
                  <c:v>234652.24350000001</c:v>
                </c:pt>
                <c:pt idx="3">
                  <c:v>0</c:v>
                </c:pt>
              </c:numCache>
            </c:numRef>
          </c:val>
          <c:extLst>
            <c:ext xmlns:c16="http://schemas.microsoft.com/office/drawing/2014/chart" uri="{C3380CC4-5D6E-409C-BE32-E72D297353CC}">
              <c16:uniqueId val="{00000002-A2F9-40F5-BD0C-B66AB90BDD6A}"/>
            </c:ext>
          </c:extLst>
        </c:ser>
        <c:ser>
          <c:idx val="3"/>
          <c:order val="3"/>
          <c:tx>
            <c:strRef>
              <c:f>報告書圖表!$B$16</c:f>
              <c:strCache>
                <c:ptCount val="1"/>
                <c:pt idx="0">
                  <c:v>不透光帷幕牆</c:v>
                </c:pt>
              </c:strCache>
            </c:strRef>
          </c:tx>
          <c:spPr>
            <a:solidFill>
              <a:schemeClr val="accent4"/>
            </a:solidFill>
            <a:ln>
              <a:noFill/>
            </a:ln>
            <a:effectLst/>
          </c:spPr>
          <c:invertIfNegative val="0"/>
          <c:cat>
            <c:strRef>
              <c:f>報告書圖表!$C$12:$F$12</c:f>
              <c:strCache>
                <c:ptCount val="4"/>
                <c:pt idx="0">
                  <c:v>設計案新建</c:v>
                </c:pt>
                <c:pt idx="1">
                  <c:v>設計案修繕</c:v>
                </c:pt>
                <c:pt idx="2">
                  <c:v>基準案新建</c:v>
                </c:pt>
                <c:pt idx="3">
                  <c:v>基準案修繕</c:v>
                </c:pt>
              </c:strCache>
            </c:strRef>
          </c:cat>
          <c:val>
            <c:numRef>
              <c:f>報告書圖表!$C$16:$F$16</c:f>
              <c:numCache>
                <c:formatCode>#,##0</c:formatCode>
                <c:ptCount val="4"/>
                <c:pt idx="0">
                  <c:v>0</c:v>
                </c:pt>
                <c:pt idx="1">
                  <c:v>0</c:v>
                </c:pt>
                <c:pt idx="2">
                  <c:v>0</c:v>
                </c:pt>
                <c:pt idx="3">
                  <c:v>0</c:v>
                </c:pt>
              </c:numCache>
            </c:numRef>
          </c:val>
          <c:extLst>
            <c:ext xmlns:c16="http://schemas.microsoft.com/office/drawing/2014/chart" uri="{C3380CC4-5D6E-409C-BE32-E72D297353CC}">
              <c16:uniqueId val="{00000003-A2F9-40F5-BD0C-B66AB90BDD6A}"/>
            </c:ext>
          </c:extLst>
        </c:ser>
        <c:ser>
          <c:idx val="4"/>
          <c:order val="4"/>
          <c:tx>
            <c:strRef>
              <c:f>報告書圖表!$B$17</c:f>
              <c:strCache>
                <c:ptCount val="1"/>
                <c:pt idx="0">
                  <c:v>內隔間</c:v>
                </c:pt>
              </c:strCache>
            </c:strRef>
          </c:tx>
          <c:spPr>
            <a:solidFill>
              <a:schemeClr val="accent3">
                <a:lumMod val="75000"/>
              </a:schemeClr>
            </a:solidFill>
            <a:ln>
              <a:noFill/>
            </a:ln>
            <a:effectLst/>
          </c:spPr>
          <c:invertIfNegative val="0"/>
          <c:cat>
            <c:strRef>
              <c:f>報告書圖表!$C$12:$F$12</c:f>
              <c:strCache>
                <c:ptCount val="4"/>
                <c:pt idx="0">
                  <c:v>設計案新建</c:v>
                </c:pt>
                <c:pt idx="1">
                  <c:v>設計案修繕</c:v>
                </c:pt>
                <c:pt idx="2">
                  <c:v>基準案新建</c:v>
                </c:pt>
                <c:pt idx="3">
                  <c:v>基準案修繕</c:v>
                </c:pt>
              </c:strCache>
            </c:strRef>
          </c:cat>
          <c:val>
            <c:numRef>
              <c:f>報告書圖表!$C$17:$F$17</c:f>
              <c:numCache>
                <c:formatCode>#,##0</c:formatCode>
                <c:ptCount val="4"/>
                <c:pt idx="0">
                  <c:v>310658</c:v>
                </c:pt>
                <c:pt idx="1">
                  <c:v>0</c:v>
                </c:pt>
                <c:pt idx="2">
                  <c:v>516958.25159999996</c:v>
                </c:pt>
                <c:pt idx="3">
                  <c:v>0</c:v>
                </c:pt>
              </c:numCache>
            </c:numRef>
          </c:val>
          <c:extLst>
            <c:ext xmlns:c16="http://schemas.microsoft.com/office/drawing/2014/chart" uri="{C3380CC4-5D6E-409C-BE32-E72D297353CC}">
              <c16:uniqueId val="{00000004-A2F9-40F5-BD0C-B66AB90BDD6A}"/>
            </c:ext>
          </c:extLst>
        </c:ser>
        <c:ser>
          <c:idx val="5"/>
          <c:order val="5"/>
          <c:tx>
            <c:strRef>
              <c:f>報告書圖表!$B$18</c:f>
              <c:strCache>
                <c:ptCount val="1"/>
                <c:pt idx="0">
                  <c:v>屋頂防水隔熱</c:v>
                </c:pt>
              </c:strCache>
            </c:strRef>
          </c:tx>
          <c:spPr>
            <a:solidFill>
              <a:schemeClr val="accent2">
                <a:lumMod val="75000"/>
              </a:schemeClr>
            </a:solidFill>
            <a:ln>
              <a:noFill/>
            </a:ln>
            <a:effectLst/>
          </c:spPr>
          <c:invertIfNegative val="0"/>
          <c:cat>
            <c:strRef>
              <c:f>報告書圖表!$C$12:$F$12</c:f>
              <c:strCache>
                <c:ptCount val="4"/>
                <c:pt idx="0">
                  <c:v>設計案新建</c:v>
                </c:pt>
                <c:pt idx="1">
                  <c:v>設計案修繕</c:v>
                </c:pt>
                <c:pt idx="2">
                  <c:v>基準案新建</c:v>
                </c:pt>
                <c:pt idx="3">
                  <c:v>基準案修繕</c:v>
                </c:pt>
              </c:strCache>
            </c:strRef>
          </c:cat>
          <c:val>
            <c:numRef>
              <c:f>報告書圖表!$C$18:$F$18</c:f>
              <c:numCache>
                <c:formatCode>#,##0</c:formatCode>
                <c:ptCount val="4"/>
                <c:pt idx="0">
                  <c:v>153419.1954</c:v>
                </c:pt>
                <c:pt idx="1">
                  <c:v>767095.97700000007</c:v>
                </c:pt>
                <c:pt idx="2">
                  <c:v>153419.1954</c:v>
                </c:pt>
                <c:pt idx="3">
                  <c:v>767095.97700000007</c:v>
                </c:pt>
              </c:numCache>
            </c:numRef>
          </c:val>
          <c:extLst>
            <c:ext xmlns:c16="http://schemas.microsoft.com/office/drawing/2014/chart" uri="{C3380CC4-5D6E-409C-BE32-E72D297353CC}">
              <c16:uniqueId val="{00000005-A2F9-40F5-BD0C-B66AB90BDD6A}"/>
            </c:ext>
          </c:extLst>
        </c:ser>
        <c:ser>
          <c:idx val="6"/>
          <c:order val="6"/>
          <c:tx>
            <c:strRef>
              <c:f>報告書圖表!$B$19</c:f>
              <c:strCache>
                <c:ptCount val="1"/>
                <c:pt idx="0">
                  <c:v>室內地坪</c:v>
                </c:pt>
              </c:strCache>
            </c:strRef>
          </c:tx>
          <c:spPr>
            <a:solidFill>
              <a:srgbClr val="006699"/>
            </a:solidFill>
            <a:ln>
              <a:noFill/>
            </a:ln>
            <a:effectLst/>
          </c:spPr>
          <c:invertIfNegative val="0"/>
          <c:cat>
            <c:strRef>
              <c:f>報告書圖表!$C$12:$F$12</c:f>
              <c:strCache>
                <c:ptCount val="4"/>
                <c:pt idx="0">
                  <c:v>設計案新建</c:v>
                </c:pt>
                <c:pt idx="1">
                  <c:v>設計案修繕</c:v>
                </c:pt>
                <c:pt idx="2">
                  <c:v>基準案新建</c:v>
                </c:pt>
                <c:pt idx="3">
                  <c:v>基準案修繕</c:v>
                </c:pt>
              </c:strCache>
            </c:strRef>
          </c:cat>
          <c:val>
            <c:numRef>
              <c:f>報告書圖表!$C$19:$F$19</c:f>
              <c:numCache>
                <c:formatCode>#,##0</c:formatCode>
                <c:ptCount val="4"/>
                <c:pt idx="0">
                  <c:v>1797338.9286000002</c:v>
                </c:pt>
                <c:pt idx="1">
                  <c:v>547780.12199999997</c:v>
                </c:pt>
                <c:pt idx="2">
                  <c:v>1797338.9286000002</c:v>
                </c:pt>
                <c:pt idx="3">
                  <c:v>547780.12199999997</c:v>
                </c:pt>
              </c:numCache>
            </c:numRef>
          </c:val>
          <c:extLst>
            <c:ext xmlns:c16="http://schemas.microsoft.com/office/drawing/2014/chart" uri="{C3380CC4-5D6E-409C-BE32-E72D297353CC}">
              <c16:uniqueId val="{00000006-A2F9-40F5-BD0C-B66AB90BDD6A}"/>
            </c:ext>
          </c:extLst>
        </c:ser>
        <c:ser>
          <c:idx val="7"/>
          <c:order val="7"/>
          <c:tx>
            <c:strRef>
              <c:f>報告書圖表!$B$20</c:f>
              <c:strCache>
                <c:ptCount val="1"/>
                <c:pt idx="0">
                  <c:v>戶外地坪</c:v>
                </c:pt>
              </c:strCache>
            </c:strRef>
          </c:tx>
          <c:spPr>
            <a:solidFill>
              <a:srgbClr val="CC99FF"/>
            </a:solidFill>
            <a:ln>
              <a:noFill/>
            </a:ln>
            <a:effectLst/>
          </c:spPr>
          <c:invertIfNegative val="0"/>
          <c:cat>
            <c:strRef>
              <c:f>報告書圖表!$C$12:$F$12</c:f>
              <c:strCache>
                <c:ptCount val="4"/>
                <c:pt idx="0">
                  <c:v>設計案新建</c:v>
                </c:pt>
                <c:pt idx="1">
                  <c:v>設計案修繕</c:v>
                </c:pt>
                <c:pt idx="2">
                  <c:v>基準案新建</c:v>
                </c:pt>
                <c:pt idx="3">
                  <c:v>基準案修繕</c:v>
                </c:pt>
              </c:strCache>
            </c:strRef>
          </c:cat>
          <c:val>
            <c:numRef>
              <c:f>報告書圖表!$C$20:$F$20</c:f>
              <c:numCache>
                <c:formatCode>#,##0</c:formatCode>
                <c:ptCount val="4"/>
                <c:pt idx="0">
                  <c:v>420256.99530000001</c:v>
                </c:pt>
                <c:pt idx="1">
                  <c:v>196026.67360000001</c:v>
                </c:pt>
                <c:pt idx="2">
                  <c:v>386512.43729999999</c:v>
                </c:pt>
                <c:pt idx="3">
                  <c:v>162282.11559999999</c:v>
                </c:pt>
              </c:numCache>
            </c:numRef>
          </c:val>
          <c:extLst>
            <c:ext xmlns:c16="http://schemas.microsoft.com/office/drawing/2014/chart" uri="{C3380CC4-5D6E-409C-BE32-E72D297353CC}">
              <c16:uniqueId val="{00000007-A2F9-40F5-BD0C-B66AB90BDD6A}"/>
            </c:ext>
          </c:extLst>
        </c:ser>
        <c:dLbls>
          <c:showLegendKey val="0"/>
          <c:showVal val="0"/>
          <c:showCatName val="0"/>
          <c:showSerName val="0"/>
          <c:showPercent val="0"/>
          <c:showBubbleSize val="0"/>
        </c:dLbls>
        <c:gapWidth val="150"/>
        <c:overlap val="100"/>
        <c:axId val="734972303"/>
        <c:axId val="734957327"/>
      </c:barChart>
      <c:catAx>
        <c:axId val="734972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微軟正黑體" panose="020B0604030504040204" pitchFamily="34" charset="-120"/>
                <a:ea typeface="微軟正黑體" panose="020B0604030504040204" pitchFamily="34" charset="-120"/>
                <a:cs typeface="+mn-cs"/>
              </a:defRPr>
            </a:pPr>
            <a:endParaRPr lang="zh-TW"/>
          </a:p>
        </c:txPr>
        <c:crossAx val="734957327"/>
        <c:crosses val="autoZero"/>
        <c:auto val="1"/>
        <c:lblAlgn val="ctr"/>
        <c:lblOffset val="100"/>
        <c:noMultiLvlLbl val="0"/>
      </c:catAx>
      <c:valAx>
        <c:axId val="7349573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微軟正黑體" panose="020B0604030504040204" pitchFamily="34" charset="-120"/>
                <a:ea typeface="微軟正黑體" panose="020B0604030504040204" pitchFamily="34" charset="-120"/>
                <a:cs typeface="+mn-cs"/>
              </a:defRPr>
            </a:pPr>
            <a:endParaRPr lang="zh-TW"/>
          </a:p>
        </c:txPr>
        <c:crossAx val="734972303"/>
        <c:crosses val="autoZero"/>
        <c:crossBetween val="between"/>
      </c:valAx>
      <c:spPr>
        <a:noFill/>
        <a:ln>
          <a:noFill/>
        </a:ln>
        <a:effectLst/>
      </c:spPr>
    </c:plotArea>
    <c:legend>
      <c:legendPos val="b"/>
      <c:layout>
        <c:manualLayout>
          <c:xMode val="edge"/>
          <c:yMode val="edge"/>
          <c:x val="2.2663800327484118E-2"/>
          <c:y val="0.81662943915213937"/>
          <c:w val="0.94913932495228981"/>
          <c:h val="0.142317932671534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微軟正黑體" panose="020B0604030504040204" pitchFamily="34" charset="-120"/>
              <a:ea typeface="微軟正黑體" panose="020B0604030504040204" pitchFamily="34" charset="-120"/>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微軟正黑體" panose="020B0604030504040204" pitchFamily="34" charset="-120"/>
          <a:ea typeface="微軟正黑體" panose="020B0604030504040204" pitchFamily="34" charset="-120"/>
        </a:defRPr>
      </a:pPr>
      <a:endParaRPr lang="zh-TW"/>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57150</xdr:colOff>
      <xdr:row>9</xdr:row>
      <xdr:rowOff>95250</xdr:rowOff>
    </xdr:from>
    <xdr:to>
      <xdr:col>11</xdr:col>
      <xdr:colOff>332715</xdr:colOff>
      <xdr:row>16</xdr:row>
      <xdr:rowOff>9319</xdr:rowOff>
    </xdr:to>
    <xdr:pic>
      <xdr:nvPicPr>
        <xdr:cNvPr id="2" name="圖片 1">
          <a:extLst>
            <a:ext uri="{FF2B5EF4-FFF2-40B4-BE49-F238E27FC236}">
              <a16:creationId xmlns:a16="http://schemas.microsoft.com/office/drawing/2014/main" id="{EF22456F-0790-4873-990D-51E89EA37E2C}"/>
            </a:ext>
          </a:extLst>
        </xdr:cNvPr>
        <xdr:cNvPicPr>
          <a:picLocks noChangeAspect="1"/>
        </xdr:cNvPicPr>
      </xdr:nvPicPr>
      <xdr:blipFill>
        <a:blip xmlns:r="http://schemas.openxmlformats.org/officeDocument/2006/relationships" r:embed="rId1"/>
        <a:stretch>
          <a:fillRect/>
        </a:stretch>
      </xdr:blipFill>
      <xdr:spPr>
        <a:xfrm>
          <a:off x="10315575" y="3362325"/>
          <a:ext cx="5276190" cy="1647619"/>
        </a:xfrm>
        <a:prstGeom prst="rect">
          <a:avLst/>
        </a:prstGeom>
      </xdr:spPr>
    </xdr:pic>
    <xdr:clientData/>
  </xdr:twoCellAnchor>
  <xdr:twoCellAnchor editAs="oneCell">
    <xdr:from>
      <xdr:col>8</xdr:col>
      <xdr:colOff>19050</xdr:colOff>
      <xdr:row>0</xdr:row>
      <xdr:rowOff>0</xdr:rowOff>
    </xdr:from>
    <xdr:to>
      <xdr:col>11</xdr:col>
      <xdr:colOff>342234</xdr:colOff>
      <xdr:row>9</xdr:row>
      <xdr:rowOff>85306</xdr:rowOff>
    </xdr:to>
    <xdr:pic>
      <xdr:nvPicPr>
        <xdr:cNvPr id="3" name="圖片 2">
          <a:extLst>
            <a:ext uri="{FF2B5EF4-FFF2-40B4-BE49-F238E27FC236}">
              <a16:creationId xmlns:a16="http://schemas.microsoft.com/office/drawing/2014/main" id="{765A2C5D-6396-48A6-A09B-06F23FE9E22D}"/>
            </a:ext>
          </a:extLst>
        </xdr:cNvPr>
        <xdr:cNvPicPr>
          <a:picLocks noChangeAspect="1"/>
        </xdr:cNvPicPr>
      </xdr:nvPicPr>
      <xdr:blipFill>
        <a:blip xmlns:r="http://schemas.openxmlformats.org/officeDocument/2006/relationships" r:embed="rId2"/>
        <a:stretch>
          <a:fillRect/>
        </a:stretch>
      </xdr:blipFill>
      <xdr:spPr>
        <a:xfrm>
          <a:off x="10029825" y="0"/>
          <a:ext cx="5323809" cy="3352381"/>
        </a:xfrm>
        <a:prstGeom prst="rect">
          <a:avLst/>
        </a:prstGeom>
      </xdr:spPr>
    </xdr:pic>
    <xdr:clientData/>
  </xdr:twoCellAnchor>
  <xdr:twoCellAnchor editAs="oneCell">
    <xdr:from>
      <xdr:col>8</xdr:col>
      <xdr:colOff>238125</xdr:colOff>
      <xdr:row>16</xdr:row>
      <xdr:rowOff>47625</xdr:rowOff>
    </xdr:from>
    <xdr:to>
      <xdr:col>11</xdr:col>
      <xdr:colOff>304167</xdr:colOff>
      <xdr:row>22</xdr:row>
      <xdr:rowOff>133046</xdr:rowOff>
    </xdr:to>
    <xdr:pic>
      <xdr:nvPicPr>
        <xdr:cNvPr id="4" name="圖片 3">
          <a:extLst>
            <a:ext uri="{FF2B5EF4-FFF2-40B4-BE49-F238E27FC236}">
              <a16:creationId xmlns:a16="http://schemas.microsoft.com/office/drawing/2014/main" id="{333F76B7-76D3-47D2-956A-2E1CEEF8C565}"/>
            </a:ext>
          </a:extLst>
        </xdr:cNvPr>
        <xdr:cNvPicPr>
          <a:picLocks noChangeAspect="1"/>
        </xdr:cNvPicPr>
      </xdr:nvPicPr>
      <xdr:blipFill>
        <a:blip xmlns:r="http://schemas.openxmlformats.org/officeDocument/2006/relationships" r:embed="rId3"/>
        <a:stretch>
          <a:fillRect/>
        </a:stretch>
      </xdr:blipFill>
      <xdr:spPr>
        <a:xfrm>
          <a:off x="10496550" y="5048250"/>
          <a:ext cx="5066667" cy="24285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76201</xdr:colOff>
      <xdr:row>18</xdr:row>
      <xdr:rowOff>119745</xdr:rowOff>
    </xdr:from>
    <xdr:to>
      <xdr:col>7</xdr:col>
      <xdr:colOff>631372</xdr:colOff>
      <xdr:row>27</xdr:row>
      <xdr:rowOff>15532</xdr:rowOff>
    </xdr:to>
    <xdr:pic>
      <xdr:nvPicPr>
        <xdr:cNvPr id="5" name="圖片 4">
          <a:extLst>
            <a:ext uri="{FF2B5EF4-FFF2-40B4-BE49-F238E27FC236}">
              <a16:creationId xmlns:a16="http://schemas.microsoft.com/office/drawing/2014/main" id="{9C36C63F-EDCE-7D1C-4038-F77DD50C5674}"/>
            </a:ext>
          </a:extLst>
        </xdr:cNvPr>
        <xdr:cNvPicPr>
          <a:picLocks noChangeAspect="1"/>
        </xdr:cNvPicPr>
      </xdr:nvPicPr>
      <xdr:blipFill rotWithShape="1">
        <a:blip xmlns:r="http://schemas.openxmlformats.org/officeDocument/2006/relationships" r:embed="rId1"/>
        <a:srcRect l="4459" r="18896" b="11456"/>
        <a:stretch/>
      </xdr:blipFill>
      <xdr:spPr>
        <a:xfrm>
          <a:off x="4332515" y="4865916"/>
          <a:ext cx="3352800" cy="1681044"/>
        </a:xfrm>
        <a:prstGeom prst="rect">
          <a:avLst/>
        </a:prstGeom>
      </xdr:spPr>
    </xdr:pic>
    <xdr:clientData/>
  </xdr:twoCellAnchor>
  <xdr:twoCellAnchor editAs="oneCell">
    <xdr:from>
      <xdr:col>5</xdr:col>
      <xdr:colOff>108858</xdr:colOff>
      <xdr:row>12</xdr:row>
      <xdr:rowOff>163285</xdr:rowOff>
    </xdr:from>
    <xdr:to>
      <xdr:col>7</xdr:col>
      <xdr:colOff>620486</xdr:colOff>
      <xdr:row>17</xdr:row>
      <xdr:rowOff>304958</xdr:rowOff>
    </xdr:to>
    <xdr:pic>
      <xdr:nvPicPr>
        <xdr:cNvPr id="4" name="圖片 3">
          <a:extLst>
            <a:ext uri="{FF2B5EF4-FFF2-40B4-BE49-F238E27FC236}">
              <a16:creationId xmlns:a16="http://schemas.microsoft.com/office/drawing/2014/main" id="{5BAD3C4C-103A-1D4D-742D-7F80D96543B0}"/>
            </a:ext>
          </a:extLst>
        </xdr:cNvPr>
        <xdr:cNvPicPr>
          <a:picLocks noChangeAspect="1"/>
        </xdr:cNvPicPr>
      </xdr:nvPicPr>
      <xdr:blipFill rotWithShape="1">
        <a:blip xmlns:r="http://schemas.openxmlformats.org/officeDocument/2006/relationships" r:embed="rId2"/>
        <a:srcRect r="24505"/>
        <a:stretch/>
      </xdr:blipFill>
      <xdr:spPr>
        <a:xfrm>
          <a:off x="4365172" y="2884714"/>
          <a:ext cx="3309257" cy="18289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65442</xdr:colOff>
      <xdr:row>1</xdr:row>
      <xdr:rowOff>69924</xdr:rowOff>
    </xdr:from>
    <xdr:to>
      <xdr:col>16</xdr:col>
      <xdr:colOff>349623</xdr:colOff>
      <xdr:row>12</xdr:row>
      <xdr:rowOff>17929</xdr:rowOff>
    </xdr:to>
    <xdr:graphicFrame macro="">
      <xdr:nvGraphicFramePr>
        <xdr:cNvPr id="2" name="圖表 1">
          <a:extLst>
            <a:ext uri="{FF2B5EF4-FFF2-40B4-BE49-F238E27FC236}">
              <a16:creationId xmlns:a16="http://schemas.microsoft.com/office/drawing/2014/main" id="{B7B7D29D-339F-4BAE-BA29-CDE65B470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71718</xdr:colOff>
      <xdr:row>12</xdr:row>
      <xdr:rowOff>179294</xdr:rowOff>
    </xdr:from>
    <xdr:to>
      <xdr:col>16</xdr:col>
      <xdr:colOff>327446</xdr:colOff>
      <xdr:row>24</xdr:row>
      <xdr:rowOff>116541</xdr:rowOff>
    </xdr:to>
    <xdr:graphicFrame macro="">
      <xdr:nvGraphicFramePr>
        <xdr:cNvPr id="3" name="圖表 2">
          <a:extLst>
            <a:ext uri="{FF2B5EF4-FFF2-40B4-BE49-F238E27FC236}">
              <a16:creationId xmlns:a16="http://schemas.microsoft.com/office/drawing/2014/main" id="{F4C52768-9B10-46F0-A9FA-0448141D3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xdr:colOff>
      <xdr:row>26</xdr:row>
      <xdr:rowOff>64770</xdr:rowOff>
    </xdr:from>
    <xdr:to>
      <xdr:col>5</xdr:col>
      <xdr:colOff>201930</xdr:colOff>
      <xdr:row>40</xdr:row>
      <xdr:rowOff>140970</xdr:rowOff>
    </xdr:to>
    <xdr:graphicFrame macro="">
      <xdr:nvGraphicFramePr>
        <xdr:cNvPr id="4" name="圖表 3">
          <a:extLst>
            <a:ext uri="{FF2B5EF4-FFF2-40B4-BE49-F238E27FC236}">
              <a16:creationId xmlns:a16="http://schemas.microsoft.com/office/drawing/2014/main" id="{5A608890-D494-603E-83EC-CC5B8CDB2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53340</xdr:colOff>
      <xdr:row>43</xdr:row>
      <xdr:rowOff>175260</xdr:rowOff>
    </xdr:from>
    <xdr:to>
      <xdr:col>5</xdr:col>
      <xdr:colOff>251460</xdr:colOff>
      <xdr:row>58</xdr:row>
      <xdr:rowOff>60960</xdr:rowOff>
    </xdr:to>
    <xdr:graphicFrame macro="">
      <xdr:nvGraphicFramePr>
        <xdr:cNvPr id="5" name="圖表 4">
          <a:extLst>
            <a:ext uri="{FF2B5EF4-FFF2-40B4-BE49-F238E27FC236}">
              <a16:creationId xmlns:a16="http://schemas.microsoft.com/office/drawing/2014/main" id="{2F771FFC-054B-4B83-A83B-5D72B7AE2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532056</xdr:colOff>
      <xdr:row>27</xdr:row>
      <xdr:rowOff>45945</xdr:rowOff>
    </xdr:from>
    <xdr:to>
      <xdr:col>17</xdr:col>
      <xdr:colOff>243168</xdr:colOff>
      <xdr:row>40</xdr:row>
      <xdr:rowOff>125506</xdr:rowOff>
    </xdr:to>
    <xdr:grpSp>
      <xdr:nvGrpSpPr>
        <xdr:cNvPr id="7" name="群組 6">
          <a:extLst>
            <a:ext uri="{FF2B5EF4-FFF2-40B4-BE49-F238E27FC236}">
              <a16:creationId xmlns:a16="http://schemas.microsoft.com/office/drawing/2014/main" id="{77469354-E54B-CAC5-45AE-0E80A535D30D}"/>
            </a:ext>
          </a:extLst>
        </xdr:cNvPr>
        <xdr:cNvGrpSpPr/>
      </xdr:nvGrpSpPr>
      <xdr:grpSpPr>
        <a:xfrm>
          <a:off x="8342556" y="5536827"/>
          <a:ext cx="5762288" cy="2701738"/>
          <a:chOff x="6370320" y="5543550"/>
          <a:chExt cx="4602480" cy="2228850"/>
        </a:xfrm>
      </xdr:grpSpPr>
      <xdr:graphicFrame macro="">
        <xdr:nvGraphicFramePr>
          <xdr:cNvPr id="9" name="圖表 8">
            <a:extLst>
              <a:ext uri="{FF2B5EF4-FFF2-40B4-BE49-F238E27FC236}">
                <a16:creationId xmlns:a16="http://schemas.microsoft.com/office/drawing/2014/main" id="{A9547316-40B9-BADD-07A4-FAD263B3A25C}"/>
              </a:ext>
            </a:extLst>
          </xdr:cNvPr>
          <xdr:cNvGraphicFramePr/>
        </xdr:nvGraphicFramePr>
        <xdr:xfrm>
          <a:off x="6370320" y="5543550"/>
          <a:ext cx="4602480" cy="222885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0" name="語音泡泡: 圓角矩形 9">
            <a:extLst>
              <a:ext uri="{FF2B5EF4-FFF2-40B4-BE49-F238E27FC236}">
                <a16:creationId xmlns:a16="http://schemas.microsoft.com/office/drawing/2014/main" id="{723A2916-1CB9-A036-EA52-CE96468BD895}"/>
              </a:ext>
            </a:extLst>
          </xdr:cNvPr>
          <xdr:cNvSpPr/>
        </xdr:nvSpPr>
        <xdr:spPr>
          <a:xfrm flipH="1">
            <a:off x="8106894" y="6143920"/>
            <a:ext cx="668287" cy="390158"/>
          </a:xfrm>
          <a:prstGeom prst="wedgeRoundRectCallout">
            <a:avLst>
              <a:gd name="adj1" fmla="val -91717"/>
              <a:gd name="adj2" fmla="val 91071"/>
              <a:gd name="adj3" fmla="val 16667"/>
            </a:avLst>
          </a:prstGeom>
        </xdr:spPr>
        <xdr:style>
          <a:lnRef idx="2">
            <a:schemeClr val="dk1">
              <a:shade val="50000"/>
            </a:schemeClr>
          </a:lnRef>
          <a:fillRef idx="1">
            <a:schemeClr val="dk1"/>
          </a:fillRef>
          <a:effectRef idx="0">
            <a:schemeClr val="dk1"/>
          </a:effectRef>
          <a:fontRef idx="minor">
            <a:schemeClr val="lt1"/>
          </a:fontRef>
        </xdr:style>
        <xdr:txBody>
          <a:bodyPr wrap="square">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zh-TW"/>
          </a:p>
        </xdr:txBody>
      </xdr:sp>
      <xdr:sp macro="" textlink="">
        <xdr:nvSpPr>
          <xdr:cNvPr id="11" name="文字方塊 1">
            <a:extLst>
              <a:ext uri="{FF2B5EF4-FFF2-40B4-BE49-F238E27FC236}">
                <a16:creationId xmlns:a16="http://schemas.microsoft.com/office/drawing/2014/main" id="{745714A9-67E5-DD96-5BA9-2F4D3A16FD45}"/>
              </a:ext>
            </a:extLst>
          </xdr:cNvPr>
          <xdr:cNvSpPr txBox="1"/>
        </xdr:nvSpPr>
        <xdr:spPr>
          <a:xfrm>
            <a:off x="8030308" y="6120911"/>
            <a:ext cx="849285" cy="34166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zh-TW" altLang="en-US" sz="1100">
                <a:solidFill>
                  <a:schemeClr val="bg1"/>
                </a:solidFill>
                <a:latin typeface="標楷體" panose="03000509000000000000" pitchFamily="65" charset="-120"/>
                <a:ea typeface="標楷體" panose="03000509000000000000" pitchFamily="65" charset="-120"/>
              </a:rPr>
              <a:t>內隔間</a:t>
            </a:r>
            <a:endParaRPr lang="en-US" altLang="zh-TW" sz="1100">
              <a:solidFill>
                <a:schemeClr val="bg1"/>
              </a:solidFill>
              <a:latin typeface="標楷體" panose="03000509000000000000" pitchFamily="65" charset="-120"/>
              <a:ea typeface="標楷體" panose="03000509000000000000" pitchFamily="65" charset="-120"/>
            </a:endParaRPr>
          </a:p>
          <a:p>
            <a:r>
              <a:rPr lang="zh-TW" altLang="en-US" sz="1100">
                <a:solidFill>
                  <a:schemeClr val="bg1"/>
                </a:solidFill>
                <a:latin typeface="標楷體" panose="03000509000000000000" pitchFamily="65" charset="-120"/>
                <a:ea typeface="標楷體" panose="03000509000000000000" pitchFamily="65" charset="-120"/>
              </a:rPr>
              <a:t>減碳</a:t>
            </a:r>
            <a:r>
              <a:rPr lang="en-US" altLang="zh-TW" sz="1100">
                <a:solidFill>
                  <a:schemeClr val="bg1"/>
                </a:solidFill>
                <a:latin typeface="標楷體" panose="03000509000000000000" pitchFamily="65" charset="-120"/>
                <a:ea typeface="標楷體" panose="03000509000000000000" pitchFamily="65" charset="-120"/>
              </a:rPr>
              <a:t>0.84%</a:t>
            </a:r>
            <a:endParaRPr lang="zh-TW" altLang="en-US" sz="1100">
              <a:solidFill>
                <a:schemeClr val="bg1"/>
              </a:solidFill>
              <a:latin typeface="標楷體" panose="03000509000000000000" pitchFamily="65" charset="-120"/>
              <a:ea typeface="標楷體" panose="03000509000000000000" pitchFamily="65" charset="-120"/>
            </a:endParaRPr>
          </a:p>
        </xdr:txBody>
      </xdr:sp>
      <xdr:sp macro="" textlink="">
        <xdr:nvSpPr>
          <xdr:cNvPr id="12" name="語音泡泡: 圓角矩形 11">
            <a:extLst>
              <a:ext uri="{FF2B5EF4-FFF2-40B4-BE49-F238E27FC236}">
                <a16:creationId xmlns:a16="http://schemas.microsoft.com/office/drawing/2014/main" id="{1CC6B11E-5ACB-8F0A-55E4-7F0302310A69}"/>
              </a:ext>
            </a:extLst>
          </xdr:cNvPr>
          <xdr:cNvSpPr/>
        </xdr:nvSpPr>
        <xdr:spPr>
          <a:xfrm>
            <a:off x="9679159" y="6146782"/>
            <a:ext cx="726253" cy="390158"/>
          </a:xfrm>
          <a:prstGeom prst="wedgeRoundRectCallout">
            <a:avLst>
              <a:gd name="adj1" fmla="val -91717"/>
              <a:gd name="adj2" fmla="val 91071"/>
              <a:gd name="adj3" fmla="val 16667"/>
            </a:avLst>
          </a:prstGeom>
        </xdr:spPr>
        <xdr:style>
          <a:lnRef idx="2">
            <a:schemeClr val="dk1">
              <a:shade val="50000"/>
            </a:schemeClr>
          </a:lnRef>
          <a:fillRef idx="1">
            <a:schemeClr val="dk1"/>
          </a:fillRef>
          <a:effectRef idx="0">
            <a:schemeClr val="dk1"/>
          </a:effectRef>
          <a:fontRef idx="minor">
            <a:schemeClr val="lt1"/>
          </a:fontRef>
        </xdr:style>
        <xdr:txBody>
          <a:bodyPr wrap="square">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zh-TW"/>
          </a:p>
        </xdr:txBody>
      </xdr:sp>
      <xdr:sp macro="" textlink="">
        <xdr:nvSpPr>
          <xdr:cNvPr id="13" name="文字方塊 1">
            <a:extLst>
              <a:ext uri="{FF2B5EF4-FFF2-40B4-BE49-F238E27FC236}">
                <a16:creationId xmlns:a16="http://schemas.microsoft.com/office/drawing/2014/main" id="{91F31A5E-4A7D-2C03-1631-89EB6C410A8D}"/>
              </a:ext>
            </a:extLst>
          </xdr:cNvPr>
          <xdr:cNvSpPr txBox="1"/>
        </xdr:nvSpPr>
        <xdr:spPr>
          <a:xfrm>
            <a:off x="9667435" y="6129196"/>
            <a:ext cx="813203" cy="34166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zh-TW" altLang="en-US" sz="1100">
                <a:solidFill>
                  <a:schemeClr val="bg1"/>
                </a:solidFill>
                <a:latin typeface="標楷體" panose="03000509000000000000" pitchFamily="65" charset="-120"/>
                <a:ea typeface="標楷體" panose="03000509000000000000" pitchFamily="65" charset="-120"/>
              </a:rPr>
              <a:t>戶外地坪</a:t>
            </a:r>
            <a:endParaRPr lang="en-US" altLang="zh-TW" sz="1100">
              <a:solidFill>
                <a:schemeClr val="bg1"/>
              </a:solidFill>
              <a:latin typeface="標楷體" panose="03000509000000000000" pitchFamily="65" charset="-120"/>
              <a:ea typeface="標楷體" panose="03000509000000000000" pitchFamily="65" charset="-120"/>
            </a:endParaRPr>
          </a:p>
          <a:p>
            <a:r>
              <a:rPr lang="zh-TW" altLang="en-US" sz="1100">
                <a:solidFill>
                  <a:schemeClr val="bg1"/>
                </a:solidFill>
                <a:latin typeface="標楷體" panose="03000509000000000000" pitchFamily="65" charset="-120"/>
                <a:ea typeface="標楷體" panose="03000509000000000000" pitchFamily="65" charset="-120"/>
              </a:rPr>
              <a:t>增碳</a:t>
            </a:r>
            <a:r>
              <a:rPr lang="en-US" altLang="zh-TW" sz="1100">
                <a:solidFill>
                  <a:schemeClr val="bg1"/>
                </a:solidFill>
                <a:latin typeface="標楷體" panose="03000509000000000000" pitchFamily="65" charset="-120"/>
                <a:ea typeface="標楷體" panose="03000509000000000000" pitchFamily="65" charset="-120"/>
              </a:rPr>
              <a:t>0.27%</a:t>
            </a:r>
            <a:endParaRPr lang="zh-TW" altLang="en-US" sz="1100">
              <a:solidFill>
                <a:schemeClr val="bg1"/>
              </a:solidFill>
              <a:latin typeface="標楷體" panose="03000509000000000000" pitchFamily="65" charset="-120"/>
              <a:ea typeface="標楷體" panose="03000509000000000000" pitchFamily="65" charset="-120"/>
            </a:endParaRP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1CC1-7FF8-4D48-94BE-652A578662C7}">
  <dimension ref="B1:L26"/>
  <sheetViews>
    <sheetView tabSelected="1" workbookViewId="0">
      <selection activeCell="H19" sqref="H19"/>
    </sheetView>
  </sheetViews>
  <sheetFormatPr defaultRowHeight="20.100000000000001" customHeight="1"/>
  <cols>
    <col min="1" max="1" width="7.7109375" style="208" customWidth="1"/>
    <col min="2" max="2" width="36" style="208" customWidth="1"/>
    <col min="3" max="3" width="9.140625" style="208"/>
    <col min="4" max="4" width="9.28515625" style="208" bestFit="1" customWidth="1"/>
    <col min="5" max="5" width="10.140625" style="208" customWidth="1"/>
    <col min="6" max="6" width="9.42578125" style="208" bestFit="1" customWidth="1"/>
    <col min="7" max="7" width="37.42578125" style="208" customWidth="1"/>
    <col min="8" max="8" width="42.7109375" style="208" customWidth="1"/>
    <col min="9" max="9" width="13.5703125" style="208" customWidth="1"/>
    <col min="10" max="10" width="34" style="208" customWidth="1"/>
    <col min="11" max="11" width="27.42578125" style="208" customWidth="1"/>
    <col min="12" max="12" width="13" style="208" customWidth="1"/>
    <col min="13" max="16384" width="9.140625" style="208"/>
  </cols>
  <sheetData>
    <row r="1" spans="2:9" ht="20.100000000000001" customHeight="1" thickBot="1">
      <c r="D1" s="208" t="s">
        <v>384</v>
      </c>
      <c r="E1" s="208" t="s">
        <v>379</v>
      </c>
      <c r="F1" s="208" t="s">
        <v>224</v>
      </c>
    </row>
    <row r="2" spans="2:9" ht="20.100000000000001" customHeight="1">
      <c r="B2" s="210" t="s">
        <v>5</v>
      </c>
      <c r="C2" s="211" t="s">
        <v>383</v>
      </c>
      <c r="D2" s="212"/>
      <c r="E2" s="213"/>
      <c r="F2" s="214"/>
      <c r="G2" s="208" t="s">
        <v>392</v>
      </c>
    </row>
    <row r="3" spans="2:9" ht="20.100000000000001" customHeight="1">
      <c r="B3" s="209" t="s">
        <v>386</v>
      </c>
      <c r="C3" s="215"/>
      <c r="D3" s="216"/>
      <c r="E3" s="215"/>
      <c r="F3" s="217"/>
      <c r="G3" s="208" t="s">
        <v>392</v>
      </c>
    </row>
    <row r="4" spans="2:9" ht="20.100000000000001" customHeight="1">
      <c r="B4" s="209" t="s">
        <v>378</v>
      </c>
      <c r="C4" s="218" t="s">
        <v>383</v>
      </c>
      <c r="D4" s="216"/>
      <c r="E4" s="215"/>
      <c r="F4" s="217"/>
      <c r="G4" s="208" t="s">
        <v>392</v>
      </c>
    </row>
    <row r="5" spans="2:9" ht="20.100000000000001" customHeight="1">
      <c r="B5" s="209" t="s">
        <v>387</v>
      </c>
      <c r="C5" s="215"/>
      <c r="D5" s="216"/>
      <c r="E5" s="215"/>
      <c r="F5" s="217"/>
      <c r="G5" s="208" t="s">
        <v>392</v>
      </c>
    </row>
    <row r="6" spans="2:9" ht="46.5" customHeight="1" thickBot="1">
      <c r="B6" s="219" t="s">
        <v>388</v>
      </c>
      <c r="C6" s="220"/>
      <c r="D6" s="221" t="s">
        <v>395</v>
      </c>
      <c r="E6" s="220"/>
      <c r="F6" s="222"/>
      <c r="G6" s="206" t="s">
        <v>394</v>
      </c>
    </row>
    <row r="7" spans="2:9" ht="20.100000000000001" customHeight="1">
      <c r="B7" s="210" t="s">
        <v>376</v>
      </c>
      <c r="C7" s="223" t="s">
        <v>377</v>
      </c>
      <c r="D7" s="224"/>
      <c r="E7" s="236"/>
      <c r="F7" s="237"/>
      <c r="G7" s="208" t="s">
        <v>392</v>
      </c>
    </row>
    <row r="8" spans="2:9" ht="45" customHeight="1">
      <c r="B8" s="209" t="s">
        <v>380</v>
      </c>
      <c r="C8" s="207" t="s">
        <v>381</v>
      </c>
      <c r="D8" s="215"/>
      <c r="E8" s="225" t="s">
        <v>393</v>
      </c>
      <c r="F8" s="226"/>
      <c r="G8" s="206" t="s">
        <v>389</v>
      </c>
      <c r="H8" s="241" t="s">
        <v>57</v>
      </c>
    </row>
    <row r="9" spans="2:9" ht="48.75" customHeight="1">
      <c r="B9" s="209" t="s">
        <v>382</v>
      </c>
      <c r="C9" s="207"/>
      <c r="D9" s="215"/>
      <c r="E9" s="225" t="s">
        <v>390</v>
      </c>
      <c r="F9" s="226" t="s">
        <v>391</v>
      </c>
      <c r="G9" s="208" t="s">
        <v>389</v>
      </c>
      <c r="H9" s="241" t="s">
        <v>61</v>
      </c>
    </row>
    <row r="10" spans="2:9" ht="20.100000000000001" customHeight="1">
      <c r="B10" s="209" t="s">
        <v>62</v>
      </c>
      <c r="C10" s="207"/>
      <c r="D10" s="227"/>
      <c r="E10" s="242"/>
      <c r="F10" s="243"/>
      <c r="G10" s="208" t="s">
        <v>399</v>
      </c>
      <c r="H10" s="208" t="s">
        <v>396</v>
      </c>
    </row>
    <row r="11" spans="2:9" ht="20.100000000000001" customHeight="1">
      <c r="B11" s="209" t="s">
        <v>64</v>
      </c>
      <c r="C11" s="207"/>
      <c r="D11" s="227"/>
      <c r="E11" s="242"/>
      <c r="F11" s="243"/>
      <c r="G11" s="208" t="s">
        <v>399</v>
      </c>
    </row>
    <row r="12" spans="2:9" ht="20.100000000000001" customHeight="1">
      <c r="B12" s="209" t="s">
        <v>66</v>
      </c>
      <c r="C12" s="207"/>
      <c r="D12" s="227"/>
      <c r="E12" s="242"/>
      <c r="F12" s="243"/>
      <c r="G12" s="208" t="s">
        <v>399</v>
      </c>
    </row>
    <row r="13" spans="2:9" ht="20.100000000000001" customHeight="1">
      <c r="B13" s="209" t="s">
        <v>252</v>
      </c>
      <c r="C13" s="207" t="s">
        <v>398</v>
      </c>
      <c r="D13" s="228"/>
      <c r="E13" s="244"/>
      <c r="F13" s="245"/>
      <c r="G13" s="208" t="s">
        <v>399</v>
      </c>
      <c r="H13" s="208" t="s">
        <v>397</v>
      </c>
    </row>
    <row r="14" spans="2:9" ht="20.100000000000001" customHeight="1">
      <c r="B14" s="209" t="s">
        <v>253</v>
      </c>
      <c r="C14" s="207"/>
      <c r="D14" s="228"/>
      <c r="E14" s="244"/>
      <c r="F14" s="245"/>
      <c r="G14" s="208" t="s">
        <v>399</v>
      </c>
      <c r="H14" s="247" t="s">
        <v>69</v>
      </c>
      <c r="I14" s="247"/>
    </row>
    <row r="15" spans="2:9" ht="20.100000000000001" customHeight="1">
      <c r="B15" s="229" t="s">
        <v>45</v>
      </c>
      <c r="C15" s="230"/>
      <c r="D15" s="216"/>
      <c r="E15" s="215"/>
      <c r="F15" s="217"/>
    </row>
    <row r="16" spans="2:9" ht="20.100000000000001" customHeight="1">
      <c r="B16" s="229" t="s">
        <v>46</v>
      </c>
      <c r="C16" s="230"/>
      <c r="D16" s="216"/>
      <c r="E16" s="215"/>
      <c r="F16" s="217"/>
    </row>
    <row r="17" spans="2:12" ht="20.100000000000001" customHeight="1">
      <c r="B17" s="229" t="s">
        <v>47</v>
      </c>
      <c r="C17" s="230"/>
      <c r="D17" s="216"/>
      <c r="E17" s="215"/>
      <c r="F17" s="217"/>
    </row>
    <row r="18" spans="2:12" ht="20.100000000000001" customHeight="1">
      <c r="B18" s="229" t="s">
        <v>42</v>
      </c>
      <c r="C18" s="230"/>
      <c r="D18" s="216"/>
      <c r="E18" s="215"/>
      <c r="F18" s="217"/>
    </row>
    <row r="19" spans="2:12" ht="20.100000000000001" customHeight="1">
      <c r="B19" s="229" t="s">
        <v>43</v>
      </c>
      <c r="C19" s="230"/>
      <c r="D19" s="216"/>
      <c r="E19" s="215"/>
      <c r="F19" s="217"/>
    </row>
    <row r="20" spans="2:12" ht="20.100000000000001" customHeight="1" thickBot="1">
      <c r="B20" s="231" t="s">
        <v>44</v>
      </c>
      <c r="C20" s="232"/>
      <c r="D20" s="233"/>
      <c r="E20" s="234"/>
      <c r="F20" s="235"/>
      <c r="H20" s="238"/>
      <c r="I20" s="238"/>
      <c r="J20" s="238"/>
      <c r="K20" s="238"/>
      <c r="L20" s="238"/>
    </row>
    <row r="21" spans="2:12" ht="48" customHeight="1">
      <c r="H21" s="238"/>
      <c r="I21" s="248"/>
      <c r="J21" s="240"/>
      <c r="K21" s="239"/>
      <c r="L21" s="239"/>
    </row>
    <row r="22" spans="2:12" ht="58.5" customHeight="1">
      <c r="H22" s="238"/>
      <c r="I22" s="248"/>
      <c r="J22" s="240"/>
      <c r="K22" s="239"/>
      <c r="L22" s="239"/>
    </row>
    <row r="23" spans="2:12" ht="54.75" customHeight="1">
      <c r="H23" s="238"/>
      <c r="I23" s="249"/>
      <c r="J23" s="240"/>
      <c r="K23" s="239"/>
      <c r="L23" s="239"/>
    </row>
    <row r="24" spans="2:12" ht="57" customHeight="1">
      <c r="H24" s="238"/>
      <c r="I24" s="249"/>
      <c r="J24" s="240"/>
      <c r="K24" s="239"/>
      <c r="L24" s="239"/>
    </row>
    <row r="25" spans="2:12" ht="20.100000000000001" customHeight="1">
      <c r="H25" s="238"/>
      <c r="I25" s="250"/>
      <c r="J25" s="250"/>
      <c r="K25" s="246"/>
      <c r="L25" s="246"/>
    </row>
    <row r="26" spans="2:12" ht="20.100000000000001" customHeight="1">
      <c r="H26" s="238"/>
      <c r="I26" s="246"/>
      <c r="J26" s="246"/>
      <c r="K26" s="246"/>
      <c r="L26" s="246"/>
    </row>
  </sheetData>
  <mergeCells count="6">
    <mergeCell ref="I26:L26"/>
    <mergeCell ref="H14:I14"/>
    <mergeCell ref="I21:I22"/>
    <mergeCell ref="I23:I24"/>
    <mergeCell ref="I25:J25"/>
    <mergeCell ref="K25:L25"/>
  </mergeCells>
  <phoneticPr fontId="9"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32"/>
  <sheetViews>
    <sheetView zoomScale="85" zoomScaleNormal="85" workbookViewId="0">
      <selection activeCell="D29" sqref="D29:H29"/>
    </sheetView>
  </sheetViews>
  <sheetFormatPr defaultRowHeight="15.75"/>
  <cols>
    <col min="2" max="2" width="4.42578125" customWidth="1"/>
    <col min="3" max="3" width="24.42578125" customWidth="1"/>
    <col min="4" max="4" width="16.140625" customWidth="1"/>
    <col min="5" max="5" width="15.85546875" customWidth="1"/>
    <col min="6" max="6" width="28.7109375" customWidth="1"/>
    <col min="7" max="7" width="17.140625" customWidth="1"/>
    <col min="8" max="8" width="11.7109375" customWidth="1"/>
    <col min="10" max="10" width="37" customWidth="1"/>
    <col min="11" max="11" width="13.42578125" customWidth="1"/>
    <col min="13" max="13" width="21.5703125" customWidth="1"/>
    <col min="14" max="14" width="10.42578125" bestFit="1" customWidth="1"/>
    <col min="18" max="18" width="9" customWidth="1"/>
  </cols>
  <sheetData>
    <row r="2" spans="2:10" ht="16.5" thickBot="1">
      <c r="B2" t="s">
        <v>30</v>
      </c>
    </row>
    <row r="3" spans="2:10" ht="21.75" thickBot="1">
      <c r="B3" s="254" t="s">
        <v>0</v>
      </c>
      <c r="C3" s="255"/>
      <c r="D3" s="251"/>
      <c r="E3" s="251"/>
      <c r="F3" s="251"/>
      <c r="G3" s="251"/>
      <c r="H3" s="251"/>
      <c r="J3" s="189" t="s">
        <v>356</v>
      </c>
    </row>
    <row r="4" spans="2:10" ht="16.899999999999999" customHeight="1" thickBot="1">
      <c r="B4" s="254" t="s">
        <v>298</v>
      </c>
      <c r="C4" s="255"/>
      <c r="D4" s="262"/>
      <c r="E4" s="262"/>
      <c r="F4" s="262"/>
      <c r="G4" s="262"/>
      <c r="H4" s="262"/>
    </row>
    <row r="5" spans="2:10" ht="16.899999999999999" customHeight="1" thickBot="1">
      <c r="B5" s="254" t="s">
        <v>1</v>
      </c>
      <c r="C5" s="255"/>
      <c r="D5" s="252" t="s">
        <v>32</v>
      </c>
      <c r="E5" s="253"/>
      <c r="F5" s="197" t="s">
        <v>299</v>
      </c>
      <c r="G5" s="258"/>
      <c r="H5" s="259"/>
    </row>
    <row r="6" spans="2:10" ht="17.45" customHeight="1" thickBot="1">
      <c r="B6" s="254" t="s">
        <v>2</v>
      </c>
      <c r="C6" s="255"/>
      <c r="D6" s="260" t="s">
        <v>33</v>
      </c>
      <c r="E6" s="261"/>
      <c r="F6" s="198" t="s">
        <v>300</v>
      </c>
      <c r="G6" s="258"/>
      <c r="H6" s="259"/>
    </row>
    <row r="7" spans="2:10" ht="17.45" customHeight="1" thickBot="1">
      <c r="B7" s="254" t="s">
        <v>3</v>
      </c>
      <c r="C7" s="255"/>
      <c r="D7" s="252" t="s">
        <v>34</v>
      </c>
      <c r="E7" s="259"/>
      <c r="F7" s="198"/>
      <c r="G7" s="256"/>
      <c r="H7" s="257"/>
    </row>
    <row r="8" spans="2:10" ht="17.45" customHeight="1" thickBot="1">
      <c r="B8" s="254" t="s">
        <v>5</v>
      </c>
      <c r="C8" s="255"/>
      <c r="D8" s="199">
        <v>54270.09</v>
      </c>
      <c r="E8" s="200" t="s">
        <v>358</v>
      </c>
      <c r="F8" s="198" t="s">
        <v>359</v>
      </c>
      <c r="G8" s="270">
        <v>14</v>
      </c>
      <c r="H8" s="271"/>
    </row>
    <row r="9" spans="2:10" ht="17.45" customHeight="1" thickBot="1">
      <c r="B9" s="254" t="s">
        <v>4</v>
      </c>
      <c r="C9" s="255"/>
      <c r="D9" s="201">
        <v>22698.87</v>
      </c>
      <c r="E9" s="200" t="s">
        <v>358</v>
      </c>
      <c r="F9" s="198" t="s">
        <v>360</v>
      </c>
      <c r="G9" s="270">
        <v>3</v>
      </c>
      <c r="H9" s="271"/>
    </row>
    <row r="10" spans="2:10" ht="17.45" customHeight="1" thickBot="1">
      <c r="B10" s="254" t="s">
        <v>340</v>
      </c>
      <c r="C10" s="255"/>
      <c r="D10" s="187">
        <f>D8+D9</f>
        <v>76968.959999999992</v>
      </c>
      <c r="E10" s="186" t="s">
        <v>6</v>
      </c>
      <c r="F10" s="3" t="s">
        <v>251</v>
      </c>
      <c r="G10" s="201">
        <v>0.2</v>
      </c>
      <c r="H10" s="4"/>
    </row>
    <row r="11" spans="2:10" ht="17.25" thickBot="1">
      <c r="B11" s="267" t="s">
        <v>7</v>
      </c>
      <c r="C11" s="267"/>
      <c r="D11" s="178">
        <f>'4_生命週期四階段蘊含碳排'!D15</f>
        <v>33931354.513959669</v>
      </c>
      <c r="E11" s="4" t="s">
        <v>8</v>
      </c>
      <c r="F11" s="3" t="s">
        <v>9</v>
      </c>
      <c r="G11" s="179">
        <f>'4_生命週期四階段蘊含碳排'!D21</f>
        <v>21281188.23210967</v>
      </c>
      <c r="H11" s="4" t="s">
        <v>8</v>
      </c>
    </row>
    <row r="12" spans="2:10" ht="17.25" thickBot="1">
      <c r="B12" s="267" t="s">
        <v>10</v>
      </c>
      <c r="C12" s="267"/>
      <c r="D12" s="178">
        <f>'4_生命週期四階段蘊含碳排'!D22</f>
        <v>392.13475105918695</v>
      </c>
      <c r="E12" s="4" t="s">
        <v>8</v>
      </c>
      <c r="F12" s="3" t="s">
        <v>11</v>
      </c>
      <c r="G12" s="179">
        <f>'4_生命週期四階段蘊含碳排'!D23</f>
        <v>326.77895921598912</v>
      </c>
      <c r="H12" s="4" t="s">
        <v>8</v>
      </c>
    </row>
    <row r="13" spans="2:10" ht="26.45" customHeight="1" thickBot="1">
      <c r="B13" s="266" t="s">
        <v>243</v>
      </c>
      <c r="C13" s="3" t="s">
        <v>12</v>
      </c>
      <c r="D13" s="5" t="s">
        <v>13</v>
      </c>
      <c r="E13" s="3" t="s">
        <v>14</v>
      </c>
      <c r="F13" s="268"/>
      <c r="G13" s="268"/>
      <c r="H13" s="268"/>
    </row>
    <row r="14" spans="2:10" ht="26.45" customHeight="1" thickBot="1">
      <c r="B14" s="266"/>
      <c r="C14" s="3" t="s">
        <v>15</v>
      </c>
      <c r="D14" s="180">
        <f>'3_非主結構碳足跡(施工&amp;廢棄&amp;修繕)'!D30</f>
        <v>16583175.255897956</v>
      </c>
      <c r="E14" s="181">
        <f>D14/$D$18</f>
        <v>0.77924104025717822</v>
      </c>
      <c r="F14" s="268"/>
      <c r="G14" s="268"/>
      <c r="H14" s="268"/>
    </row>
    <row r="15" spans="2:10" ht="26.45" customHeight="1" thickBot="1">
      <c r="B15" s="266"/>
      <c r="C15" s="3" t="s">
        <v>16</v>
      </c>
      <c r="D15" s="180">
        <f>'3_非主結構碳足跡(施工&amp;廢棄&amp;修繕)'!F36</f>
        <v>833128.25107952813</v>
      </c>
      <c r="E15" s="181">
        <f>D15/$D$18</f>
        <v>3.914857770124322E-2</v>
      </c>
      <c r="F15" s="268"/>
      <c r="G15" s="268"/>
      <c r="H15" s="268"/>
    </row>
    <row r="16" spans="2:10" ht="26.45" customHeight="1" thickBot="1">
      <c r="B16" s="266"/>
      <c r="C16" s="3" t="s">
        <v>17</v>
      </c>
      <c r="D16" s="180">
        <f>'3_非主結構碳足跡(施工&amp;廢棄&amp;修繕)'!E17</f>
        <v>2358559.0925999996</v>
      </c>
      <c r="E16" s="181">
        <f>D16/$D$18</f>
        <v>0.11082835539424148</v>
      </c>
      <c r="F16" s="268"/>
      <c r="G16" s="268"/>
      <c r="H16" s="268"/>
    </row>
    <row r="17" spans="2:11" ht="26.45" customHeight="1" thickBot="1">
      <c r="B17" s="266"/>
      <c r="C17" s="3" t="s">
        <v>18</v>
      </c>
      <c r="D17" s="180">
        <f>'3_非主結構碳足跡(施工&amp;廢棄&amp;修繕)'!F40</f>
        <v>1506325.6325321824</v>
      </c>
      <c r="E17" s="181">
        <f>D17/$D$18</f>
        <v>7.0782026647337071E-2</v>
      </c>
      <c r="F17" s="268"/>
      <c r="G17" s="268"/>
      <c r="H17" s="268"/>
      <c r="K17" s="125"/>
    </row>
    <row r="18" spans="2:11" ht="26.45" customHeight="1" thickBot="1">
      <c r="B18" s="266"/>
      <c r="C18" s="3" t="s">
        <v>19</v>
      </c>
      <c r="D18" s="180">
        <f>SUM(D14:D17)</f>
        <v>21281188.232109666</v>
      </c>
      <c r="E18" s="182">
        <f>SUM(E14:E17)</f>
        <v>1</v>
      </c>
      <c r="F18" s="268"/>
      <c r="G18" s="268"/>
      <c r="H18" s="268"/>
    </row>
    <row r="19" spans="2:11" ht="17.25" thickBot="1">
      <c r="B19" s="266" t="s">
        <v>20</v>
      </c>
      <c r="C19" s="3" t="s">
        <v>21</v>
      </c>
      <c r="D19" s="5" t="s">
        <v>13</v>
      </c>
      <c r="E19" s="3" t="s">
        <v>14</v>
      </c>
      <c r="F19" s="269"/>
      <c r="G19" s="269"/>
      <c r="H19" s="269"/>
    </row>
    <row r="20" spans="2:11" ht="16.5" thickBot="1">
      <c r="B20" s="266"/>
      <c r="C20" s="3" t="s">
        <v>22</v>
      </c>
      <c r="D20" s="180">
        <f>'2_主結構碳排密度計算參數'!G22</f>
        <v>12554165.993097955</v>
      </c>
      <c r="E20" s="181">
        <f>D20/$D$28</f>
        <v>0.75704235162279632</v>
      </c>
      <c r="F20" s="269"/>
      <c r="G20" s="269"/>
      <c r="H20" s="269"/>
    </row>
    <row r="21" spans="2:11" ht="16.5" thickBot="1">
      <c r="B21" s="266"/>
      <c r="C21" s="3" t="s">
        <v>23</v>
      </c>
      <c r="D21" s="180">
        <f>'3_非主結構碳足跡(施工&amp;廢棄&amp;修繕)'!D10</f>
        <v>1112683.8999999999</v>
      </c>
      <c r="E21" s="181">
        <f t="shared" ref="E21:E27" si="0">D21/$D$28</f>
        <v>6.7097156173650391E-2</v>
      </c>
      <c r="F21" s="269"/>
      <c r="G21" s="269"/>
      <c r="H21" s="269"/>
    </row>
    <row r="22" spans="2:11" ht="16.5" thickBot="1">
      <c r="B22" s="266"/>
      <c r="C22" s="3" t="s">
        <v>24</v>
      </c>
      <c r="D22" s="180">
        <f>'3_非主結構碳足跡(施工&amp;廢棄&amp;修繕)'!D11</f>
        <v>234652.24350000001</v>
      </c>
      <c r="E22" s="181">
        <f t="shared" si="0"/>
        <v>1.4150018912484437E-2</v>
      </c>
      <c r="F22" s="269"/>
      <c r="G22" s="269"/>
      <c r="H22" s="269"/>
    </row>
    <row r="23" spans="2:11" ht="16.5" thickBot="1">
      <c r="B23" s="266"/>
      <c r="C23" s="3" t="s">
        <v>25</v>
      </c>
      <c r="D23" s="180">
        <f>'3_非主結構碳足跡(施工&amp;廢棄&amp;修繕)'!D12</f>
        <v>0</v>
      </c>
      <c r="E23" s="181">
        <f t="shared" si="0"/>
        <v>0</v>
      </c>
      <c r="F23" s="269"/>
      <c r="G23" s="269"/>
      <c r="H23" s="269"/>
    </row>
    <row r="24" spans="2:11" ht="16.5" thickBot="1">
      <c r="B24" s="266"/>
      <c r="C24" s="3" t="s">
        <v>26</v>
      </c>
      <c r="D24" s="180">
        <f>'3_非主結構碳足跡(施工&amp;廢棄&amp;修繕)'!D13</f>
        <v>310658</v>
      </c>
      <c r="E24" s="181">
        <f t="shared" si="0"/>
        <v>1.8733324300453959E-2</v>
      </c>
      <c r="F24" s="269"/>
      <c r="G24" s="269"/>
      <c r="H24" s="269"/>
    </row>
    <row r="25" spans="2:11" ht="16.5" thickBot="1">
      <c r="B25" s="266"/>
      <c r="C25" s="3" t="s">
        <v>27</v>
      </c>
      <c r="D25" s="180">
        <f>'3_非主結構碳足跡(施工&amp;廢棄&amp;修繕)'!D14</f>
        <v>153419.1954</v>
      </c>
      <c r="E25" s="181">
        <f t="shared" si="0"/>
        <v>9.2514969559545045E-3</v>
      </c>
      <c r="F25" s="269"/>
      <c r="G25" s="269"/>
      <c r="H25" s="269"/>
    </row>
    <row r="26" spans="2:11" ht="16.5" thickBot="1">
      <c r="B26" s="266"/>
      <c r="C26" s="3" t="s">
        <v>28</v>
      </c>
      <c r="D26" s="180">
        <f>'3_非主結構碳足跡(施工&amp;廢棄&amp;修繕)'!D15</f>
        <v>1797338.9286000002</v>
      </c>
      <c r="E26" s="181">
        <f t="shared" si="0"/>
        <v>0.10838328009352494</v>
      </c>
      <c r="F26" s="269"/>
      <c r="G26" s="269"/>
      <c r="H26" s="269"/>
    </row>
    <row r="27" spans="2:11" ht="16.5" thickBot="1">
      <c r="B27" s="266"/>
      <c r="C27" s="3" t="s">
        <v>29</v>
      </c>
      <c r="D27" s="180">
        <f>'3_非主結構碳足跡(施工&amp;廢棄&amp;修繕)'!D16</f>
        <v>420256.99530000001</v>
      </c>
      <c r="E27" s="181">
        <f t="shared" si="0"/>
        <v>2.5342371941135446E-2</v>
      </c>
      <c r="F27" s="269"/>
      <c r="G27" s="269"/>
      <c r="H27" s="269"/>
    </row>
    <row r="28" spans="2:11" ht="16.5" thickBot="1">
      <c r="B28" s="2"/>
      <c r="C28" s="6" t="s">
        <v>31</v>
      </c>
      <c r="D28" s="180">
        <f>SUM(D20:D27)</f>
        <v>16583175.255897956</v>
      </c>
      <c r="E28" s="181">
        <v>1</v>
      </c>
      <c r="F28" s="269"/>
      <c r="G28" s="269"/>
      <c r="H28" s="269"/>
    </row>
    <row r="29" spans="2:11" ht="19.5" thickBot="1">
      <c r="B29" s="265" t="s">
        <v>274</v>
      </c>
      <c r="C29" s="265"/>
      <c r="D29" s="263" t="s">
        <v>273</v>
      </c>
      <c r="E29" s="264"/>
      <c r="F29" s="264"/>
      <c r="G29" s="264"/>
      <c r="H29" s="264"/>
    </row>
    <row r="32" spans="2:11">
      <c r="D32" s="188"/>
    </row>
  </sheetData>
  <mergeCells count="26">
    <mergeCell ref="D29:H29"/>
    <mergeCell ref="B29:C29"/>
    <mergeCell ref="B13:B18"/>
    <mergeCell ref="B19:B27"/>
    <mergeCell ref="B8:C8"/>
    <mergeCell ref="B10:C10"/>
    <mergeCell ref="B11:C11"/>
    <mergeCell ref="B12:C12"/>
    <mergeCell ref="F13:H18"/>
    <mergeCell ref="F19:H28"/>
    <mergeCell ref="B9:C9"/>
    <mergeCell ref="G8:H8"/>
    <mergeCell ref="G9:H9"/>
    <mergeCell ref="D3:H3"/>
    <mergeCell ref="D5:E5"/>
    <mergeCell ref="B7:C7"/>
    <mergeCell ref="G7:H7"/>
    <mergeCell ref="G6:H6"/>
    <mergeCell ref="G5:H5"/>
    <mergeCell ref="B3:C3"/>
    <mergeCell ref="B4:C4"/>
    <mergeCell ref="B5:C5"/>
    <mergeCell ref="D7:E7"/>
    <mergeCell ref="B6:C6"/>
    <mergeCell ref="D6:E6"/>
    <mergeCell ref="D4:H4"/>
  </mergeCells>
  <phoneticPr fontId="9"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85E0-A163-4CB6-A1B1-A411D1DB8814}">
  <dimension ref="B1:Q35"/>
  <sheetViews>
    <sheetView zoomScaleNormal="100" workbookViewId="0">
      <selection activeCell="M22" sqref="M22"/>
    </sheetView>
  </sheetViews>
  <sheetFormatPr defaultColWidth="9" defaultRowHeight="15"/>
  <cols>
    <col min="1" max="1" width="9" style="16"/>
    <col min="2" max="2" width="3.5703125" style="16" customWidth="1"/>
    <col min="3" max="3" width="5.85546875" style="16" customWidth="1"/>
    <col min="4" max="4" width="15.140625" style="16" customWidth="1"/>
    <col min="5" max="5" width="4.42578125" style="16" customWidth="1"/>
    <col min="6" max="6" width="34.42578125" style="16" customWidth="1"/>
    <col min="7" max="8" width="16.85546875" style="16" customWidth="1"/>
    <col min="9" max="9" width="26" style="16" customWidth="1"/>
    <col min="10" max="10" width="24.140625" style="16" customWidth="1"/>
    <col min="11" max="11" width="15.42578125" style="16" customWidth="1"/>
    <col min="12" max="12" width="17.85546875" style="16" customWidth="1"/>
    <col min="13" max="13" width="16.7109375" style="16" customWidth="1"/>
    <col min="14" max="14" width="9" style="16"/>
    <col min="15" max="15" width="17.140625" style="16" bestFit="1" customWidth="1"/>
    <col min="16" max="16" width="14.5703125" style="16" customWidth="1"/>
    <col min="17" max="17" width="17.28515625" style="16" customWidth="1"/>
    <col min="18" max="18" width="14.42578125" style="16" bestFit="1" customWidth="1"/>
    <col min="19" max="16384" width="9" style="16"/>
  </cols>
  <sheetData>
    <row r="1" spans="2:14" ht="16.5" thickBot="1">
      <c r="B1" s="15" t="s">
        <v>41</v>
      </c>
      <c r="C1" s="15"/>
      <c r="D1" s="15"/>
      <c r="E1" s="15"/>
      <c r="L1" s="272" t="s">
        <v>355</v>
      </c>
      <c r="M1" s="273"/>
      <c r="N1" s="274"/>
    </row>
    <row r="2" spans="2:14" ht="15.6" customHeight="1" thickBot="1">
      <c r="B2" s="40" t="s">
        <v>35</v>
      </c>
      <c r="C2" s="92"/>
      <c r="D2" s="93"/>
      <c r="E2" s="287" t="s">
        <v>36</v>
      </c>
      <c r="F2" s="288"/>
      <c r="G2" s="18" t="s">
        <v>37</v>
      </c>
      <c r="H2" s="24" t="s">
        <v>38</v>
      </c>
      <c r="I2" s="291" t="s">
        <v>39</v>
      </c>
      <c r="J2" s="291"/>
    </row>
    <row r="3" spans="2:14" ht="15.6" customHeight="1" thickBot="1">
      <c r="B3" s="297" t="s">
        <v>40</v>
      </c>
      <c r="C3" s="298"/>
      <c r="D3" s="56"/>
      <c r="E3" s="289" t="s">
        <v>58</v>
      </c>
      <c r="F3" s="290"/>
      <c r="G3" s="279">
        <f>'1_本案應揭露之碳足跡數據與碳足跡組成圖'!D8</f>
        <v>54270.09</v>
      </c>
      <c r="H3" s="280"/>
      <c r="I3" s="278"/>
      <c r="J3" s="278"/>
      <c r="L3" s="275" t="s">
        <v>45</v>
      </c>
      <c r="M3" s="275"/>
      <c r="N3" s="193">
        <v>1.08</v>
      </c>
    </row>
    <row r="4" spans="2:14" ht="15.6" customHeight="1" thickBot="1">
      <c r="B4" s="299"/>
      <c r="C4" s="300"/>
      <c r="D4" s="94"/>
      <c r="E4" s="285" t="s">
        <v>267</v>
      </c>
      <c r="F4" s="286"/>
      <c r="G4" s="279">
        <f>'1_本案應揭露之碳足跡數據與碳足跡組成圖'!D9</f>
        <v>22698.87</v>
      </c>
      <c r="H4" s="280"/>
      <c r="I4" s="278"/>
      <c r="J4" s="278"/>
      <c r="L4" s="275" t="s">
        <v>46</v>
      </c>
      <c r="M4" s="275"/>
      <c r="N4" s="193">
        <v>1</v>
      </c>
    </row>
    <row r="5" spans="2:14" ht="15.6" customHeight="1" thickBot="1">
      <c r="B5" s="299"/>
      <c r="C5" s="300"/>
      <c r="D5" s="94"/>
      <c r="E5" s="285" t="s">
        <v>59</v>
      </c>
      <c r="F5" s="286"/>
      <c r="G5" s="279">
        <f>'1_本案應揭露之碳足跡數據與碳足跡組成圖'!G8:H8</f>
        <v>14</v>
      </c>
      <c r="H5" s="280"/>
      <c r="I5" s="278"/>
      <c r="J5" s="278"/>
      <c r="L5" s="275" t="s">
        <v>47</v>
      </c>
      <c r="M5" s="275"/>
      <c r="N5" s="193">
        <v>1</v>
      </c>
    </row>
    <row r="6" spans="2:14" ht="15.6" customHeight="1" thickBot="1">
      <c r="B6" s="299"/>
      <c r="C6" s="300"/>
      <c r="D6" s="94"/>
      <c r="E6" s="285" t="s">
        <v>354</v>
      </c>
      <c r="F6" s="286"/>
      <c r="G6" s="279">
        <f>'1_本案應揭露之碳足跡數據與碳足跡組成圖'!G9:H9</f>
        <v>3</v>
      </c>
      <c r="H6" s="280"/>
      <c r="I6" s="278"/>
      <c r="J6" s="278"/>
      <c r="L6" s="275" t="s">
        <v>42</v>
      </c>
      <c r="M6" s="275"/>
      <c r="N6" s="193">
        <v>0.15</v>
      </c>
    </row>
    <row r="7" spans="2:14" ht="15.6" customHeight="1" thickBot="1">
      <c r="B7" s="299"/>
      <c r="C7" s="300"/>
      <c r="D7" s="94"/>
      <c r="E7" s="285" t="s">
        <v>60</v>
      </c>
      <c r="F7" s="286"/>
      <c r="G7" s="281">
        <v>4.2</v>
      </c>
      <c r="H7" s="282"/>
      <c r="I7" s="278"/>
      <c r="J7" s="278"/>
      <c r="L7" s="275" t="s">
        <v>43</v>
      </c>
      <c r="M7" s="275"/>
      <c r="N7" s="193">
        <v>1.51</v>
      </c>
    </row>
    <row r="8" spans="2:14" ht="42" customHeight="1" thickBot="1">
      <c r="B8" s="299"/>
      <c r="C8" s="300"/>
      <c r="D8" s="94"/>
      <c r="E8" s="285" t="s">
        <v>268</v>
      </c>
      <c r="F8" s="286"/>
      <c r="G8" s="192">
        <v>300</v>
      </c>
      <c r="H8" s="192">
        <f>G8</f>
        <v>300</v>
      </c>
      <c r="I8" s="292" t="s">
        <v>57</v>
      </c>
      <c r="J8" s="293"/>
      <c r="L8" s="275" t="s">
        <v>44</v>
      </c>
      <c r="M8" s="275"/>
      <c r="N8" s="193">
        <v>0</v>
      </c>
    </row>
    <row r="9" spans="2:14" ht="44.45" customHeight="1" thickBot="1">
      <c r="B9" s="301"/>
      <c r="C9" s="302"/>
      <c r="D9" s="57"/>
      <c r="E9" s="307" t="s">
        <v>357</v>
      </c>
      <c r="F9" s="308"/>
      <c r="G9" s="192">
        <v>1</v>
      </c>
      <c r="H9" s="192">
        <v>1</v>
      </c>
      <c r="I9" s="292" t="s">
        <v>61</v>
      </c>
      <c r="J9" s="293"/>
    </row>
    <row r="10" spans="2:14" ht="15.6" customHeight="1" thickBot="1">
      <c r="B10" s="297" t="s">
        <v>266</v>
      </c>
      <c r="C10" s="298"/>
      <c r="D10" s="56"/>
      <c r="E10" s="289" t="s">
        <v>62</v>
      </c>
      <c r="F10" s="290"/>
      <c r="G10" s="283">
        <v>1</v>
      </c>
      <c r="H10" s="284"/>
      <c r="I10" s="278" t="s">
        <v>63</v>
      </c>
      <c r="J10" s="278"/>
    </row>
    <row r="11" spans="2:14" ht="15.6" customHeight="1" thickBot="1">
      <c r="B11" s="299"/>
      <c r="C11" s="300"/>
      <c r="D11" s="94"/>
      <c r="E11" s="285" t="s">
        <v>64</v>
      </c>
      <c r="F11" s="286"/>
      <c r="G11" s="283">
        <v>0.29799999999999999</v>
      </c>
      <c r="H11" s="284"/>
      <c r="I11" s="278" t="s">
        <v>65</v>
      </c>
      <c r="J11" s="278"/>
    </row>
    <row r="12" spans="2:14" ht="15.6" customHeight="1" thickBot="1">
      <c r="B12" s="299"/>
      <c r="C12" s="300"/>
      <c r="D12" s="94"/>
      <c r="E12" s="285" t="s">
        <v>66</v>
      </c>
      <c r="F12" s="286"/>
      <c r="G12" s="283">
        <v>4</v>
      </c>
      <c r="H12" s="284"/>
      <c r="I12" s="278" t="s">
        <v>67</v>
      </c>
      <c r="J12" s="278"/>
    </row>
    <row r="13" spans="2:14" ht="15.75" thickBot="1">
      <c r="B13" s="299"/>
      <c r="C13" s="300"/>
      <c r="D13" s="94"/>
      <c r="E13" s="285" t="s">
        <v>252</v>
      </c>
      <c r="F13" s="286"/>
      <c r="G13" s="276">
        <v>200</v>
      </c>
      <c r="H13" s="277"/>
      <c r="I13" s="278" t="s">
        <v>68</v>
      </c>
      <c r="J13" s="278"/>
    </row>
    <row r="14" spans="2:14" ht="15.75" thickBot="1">
      <c r="B14" s="301"/>
      <c r="C14" s="302"/>
      <c r="D14" s="57"/>
      <c r="E14" s="294" t="s">
        <v>253</v>
      </c>
      <c r="F14" s="295"/>
      <c r="G14" s="276">
        <v>1</v>
      </c>
      <c r="H14" s="277"/>
      <c r="I14" s="278" t="s">
        <v>69</v>
      </c>
      <c r="J14" s="278"/>
    </row>
    <row r="15" spans="2:14" ht="41.45" customHeight="1" thickBot="1">
      <c r="B15" s="297" t="s">
        <v>269</v>
      </c>
      <c r="C15" s="298"/>
      <c r="D15" s="56"/>
      <c r="E15" s="289" t="s">
        <v>254</v>
      </c>
      <c r="F15" s="290"/>
      <c r="G15" s="190">
        <f>G28</f>
        <v>1.7226707676534667</v>
      </c>
      <c r="H15" s="191">
        <f>IF(G5&lt;=25,2,IF(G5&gt;25,1.5))</f>
        <v>2</v>
      </c>
      <c r="I15" s="278" t="s">
        <v>70</v>
      </c>
      <c r="J15" s="278"/>
    </row>
    <row r="16" spans="2:14" ht="41.45" customHeight="1" thickBot="1">
      <c r="B16" s="299"/>
      <c r="C16" s="300"/>
      <c r="D16" s="94"/>
      <c r="E16" s="285" t="s">
        <v>71</v>
      </c>
      <c r="F16" s="286"/>
      <c r="G16" s="190">
        <f>N3*N4*N5</f>
        <v>1.08</v>
      </c>
      <c r="H16" s="191">
        <f>IF(G5&lt;=25,1.1,IF(G5&gt;25,1.05))</f>
        <v>1.1000000000000001</v>
      </c>
      <c r="I16" s="278" t="s">
        <v>72</v>
      </c>
      <c r="J16" s="278"/>
    </row>
    <row r="17" spans="2:17" ht="28.15" customHeight="1" thickBot="1">
      <c r="B17" s="299"/>
      <c r="C17" s="300"/>
      <c r="D17" s="94"/>
      <c r="E17" s="285" t="s">
        <v>73</v>
      </c>
      <c r="F17" s="286"/>
      <c r="G17" s="190">
        <f>1-N6*0.3</f>
        <v>0.95499999999999996</v>
      </c>
      <c r="H17" s="191">
        <v>1</v>
      </c>
      <c r="I17" s="278" t="s">
        <v>74</v>
      </c>
      <c r="J17" s="278"/>
    </row>
    <row r="18" spans="2:17" ht="28.15" customHeight="1" thickBot="1">
      <c r="B18" s="299"/>
      <c r="C18" s="300"/>
      <c r="D18" s="94"/>
      <c r="E18" s="285" t="s">
        <v>75</v>
      </c>
      <c r="F18" s="286"/>
      <c r="G18" s="190">
        <f>1-N7*0.05</f>
        <v>0.92449999999999999</v>
      </c>
      <c r="H18" s="191">
        <v>1</v>
      </c>
      <c r="I18" s="278" t="s">
        <v>76</v>
      </c>
      <c r="J18" s="278"/>
    </row>
    <row r="19" spans="2:17" ht="15.6" customHeight="1" thickBot="1">
      <c r="B19" s="301"/>
      <c r="C19" s="302"/>
      <c r="D19" s="57"/>
      <c r="E19" s="294" t="s">
        <v>77</v>
      </c>
      <c r="F19" s="295"/>
      <c r="G19" s="190">
        <f>(G3-N8)/G3</f>
        <v>1</v>
      </c>
      <c r="H19" s="191">
        <v>1</v>
      </c>
      <c r="I19" s="278"/>
      <c r="J19" s="278"/>
    </row>
    <row r="20" spans="2:17" ht="15.75" thickBot="1"/>
    <row r="21" spans="2:17" ht="15.75" thickBot="1">
      <c r="B21" s="19"/>
      <c r="C21" s="19"/>
      <c r="D21" s="19"/>
      <c r="E21" s="19"/>
      <c r="F21" s="19"/>
      <c r="G21" s="20" t="s">
        <v>37</v>
      </c>
      <c r="H21" s="20" t="s">
        <v>38</v>
      </c>
      <c r="I21" s="19"/>
      <c r="J21" s="296" t="s">
        <v>248</v>
      </c>
      <c r="K21" s="296"/>
      <c r="L21" s="296"/>
      <c r="M21" s="296"/>
      <c r="Q21" s="19"/>
    </row>
    <row r="22" spans="2:17" ht="15.75" thickBot="1">
      <c r="B22" s="11" t="s">
        <v>48</v>
      </c>
      <c r="C22" s="11"/>
      <c r="D22" s="11"/>
      <c r="E22" s="11"/>
      <c r="F22" s="11"/>
      <c r="G22" s="23">
        <f>G25*G17*G18*G19</f>
        <v>12554165.993097955</v>
      </c>
      <c r="H22" s="23">
        <f>H25*H17*H18*H19</f>
        <v>15620641.409835001</v>
      </c>
      <c r="I22" s="111">
        <f>G22-H22</f>
        <v>-3066475.4167370461</v>
      </c>
      <c r="J22" s="112">
        <f>G25*G17*H18*G19</f>
        <v>13579411.566357983</v>
      </c>
      <c r="K22" s="113">
        <f>$H$22-J22</f>
        <v>2041229.8434770182</v>
      </c>
      <c r="L22" s="114" t="s">
        <v>247</v>
      </c>
      <c r="M22" s="112">
        <f>($I$22-$L$24)*K22/($K$23+$K$22)</f>
        <v>-826777.79052903363</v>
      </c>
      <c r="N22" s="19"/>
      <c r="O22" s="44"/>
      <c r="P22" s="59"/>
      <c r="Q22" s="29"/>
    </row>
    <row r="23" spans="2:17" ht="15.75" thickBot="1">
      <c r="B23" s="11" t="s">
        <v>49</v>
      </c>
      <c r="C23" s="11"/>
      <c r="D23" s="11"/>
      <c r="E23" s="11"/>
      <c r="F23" s="11"/>
      <c r="G23" s="12">
        <f>330*G4+45.5*(G3+G4)</f>
        <v>10992714.779999999</v>
      </c>
      <c r="H23" s="12">
        <f>330*G4+45.5*(G3+G4)</f>
        <v>10992714.779999999</v>
      </c>
      <c r="I23" s="9"/>
      <c r="J23" s="112">
        <f>G25*H17*G18*G19</f>
        <v>13145723.552982153</v>
      </c>
      <c r="K23" s="113">
        <f>$H$22-J23</f>
        <v>2474917.8568528481</v>
      </c>
      <c r="L23" s="114" t="s">
        <v>246</v>
      </c>
      <c r="M23" s="112">
        <f>($I$22-$L$24)*K23/($K$23+$K$22)</f>
        <v>-1002438.3701661703</v>
      </c>
      <c r="N23" s="19"/>
      <c r="O23" s="44"/>
      <c r="P23" s="59"/>
      <c r="Q23" s="29"/>
    </row>
    <row r="24" spans="2:17" ht="15.75" thickBot="1">
      <c r="B24" s="9"/>
      <c r="J24" s="16" t="s">
        <v>245</v>
      </c>
      <c r="L24" s="29">
        <f>(G25-H25)*G17*G18*G19</f>
        <v>-1237259.2560418423</v>
      </c>
      <c r="M24" s="9"/>
      <c r="N24" s="19"/>
      <c r="O24" s="44"/>
      <c r="P24" s="59"/>
      <c r="Q24" s="29"/>
    </row>
    <row r="25" spans="2:17" ht="15.6" customHeight="1" thickBot="1">
      <c r="B25" s="9"/>
      <c r="C25" s="304" t="s">
        <v>50</v>
      </c>
      <c r="D25" s="305"/>
      <c r="E25" s="306"/>
      <c r="G25" s="25">
        <f>$G$3*G27*G9</f>
        <v>14219279.127076423</v>
      </c>
      <c r="H25" s="25">
        <f>$G$3*H27*H9</f>
        <v>15620641.409835001</v>
      </c>
      <c r="I25" s="26"/>
      <c r="J25" s="29"/>
      <c r="K25" s="104"/>
      <c r="M25" s="9"/>
      <c r="N25" s="19"/>
      <c r="O25" s="44"/>
    </row>
    <row r="26" spans="2:17" ht="15.6" customHeight="1" thickBot="1">
      <c r="B26" s="9"/>
      <c r="C26" s="9"/>
      <c r="D26" s="95" t="s">
        <v>51</v>
      </c>
      <c r="E26" s="95"/>
      <c r="F26" s="95"/>
      <c r="G26" s="95"/>
      <c r="H26" s="95"/>
      <c r="I26" s="96"/>
      <c r="N26" s="19"/>
      <c r="O26" s="44"/>
    </row>
    <row r="27" spans="2:17" ht="15.75" thickBot="1">
      <c r="B27" s="9"/>
      <c r="C27" s="9"/>
      <c r="D27" s="9"/>
      <c r="E27" s="9"/>
      <c r="G27" s="27">
        <f>(224+4.11*($G$5-10)+300*($G$10*$G$11/$G$12-0.192)+68.74*(G15-1) +0.17
*($G$8-300)+0.13*($G$13-300)+1.05*($G$7-3.5)) *$G$14*G16</f>
        <v>262.00949965397928</v>
      </c>
      <c r="H27" s="27">
        <f>(224+4.11*($G$5-10)+300*($G$10*$G$11/$G$12-0.192)+68.74*(H15-1) +0.17
*($G$8-300)+0.13*($G$13-300)+1.05*($G$7-3.5)) *$G$14*H16</f>
        <v>287.83150000000006</v>
      </c>
      <c r="I27" s="9"/>
      <c r="J27" s="9"/>
      <c r="K27" s="9"/>
      <c r="L27" s="9"/>
      <c r="M27" s="9"/>
      <c r="N27" s="19"/>
      <c r="P27" s="29"/>
    </row>
    <row r="28" spans="2:17" ht="15.75" thickBot="1">
      <c r="B28" s="9"/>
      <c r="C28" s="9"/>
      <c r="D28" s="303" t="s">
        <v>52</v>
      </c>
      <c r="E28" s="303"/>
      <c r="F28" s="303"/>
      <c r="G28" s="196">
        <f>(L30*J30+L31*J31)/(J30+J31)</f>
        <v>1.7226707676534667</v>
      </c>
      <c r="H28" s="124">
        <f>H15</f>
        <v>2</v>
      </c>
      <c r="N28" s="19"/>
    </row>
    <row r="29" spans="2:17" ht="15.75" thickBot="1">
      <c r="B29" s="9"/>
      <c r="C29" s="9"/>
      <c r="D29" s="9"/>
      <c r="E29" s="9"/>
      <c r="G29" s="14"/>
      <c r="H29" s="22"/>
      <c r="N29" s="19"/>
    </row>
    <row r="30" spans="2:17" ht="15.75" thickBot="1">
      <c r="B30" s="9"/>
      <c r="C30" s="9"/>
      <c r="D30" s="9"/>
      <c r="E30" s="9"/>
      <c r="I30" s="13" t="s">
        <v>53</v>
      </c>
      <c r="J30" s="194">
        <v>27.05</v>
      </c>
      <c r="K30" s="13" t="s">
        <v>54</v>
      </c>
      <c r="L30" s="194">
        <f>9.7/7.65</f>
        <v>1.2679738562091503</v>
      </c>
      <c r="M30" s="9"/>
      <c r="N30" s="19"/>
    </row>
    <row r="31" spans="2:17" ht="15.75" thickBot="1">
      <c r="B31" s="9"/>
      <c r="C31" s="9"/>
      <c r="D31" s="9"/>
      <c r="E31" s="9"/>
      <c r="F31" s="9"/>
      <c r="I31" s="21" t="s">
        <v>55</v>
      </c>
      <c r="J31" s="195">
        <f>8.5*3+7.3*2+4.25</f>
        <v>44.35</v>
      </c>
      <c r="K31" s="13" t="s">
        <v>56</v>
      </c>
      <c r="L31" s="194">
        <f>8.5/4.25</f>
        <v>2</v>
      </c>
      <c r="M31" s="9"/>
      <c r="N31" s="19"/>
    </row>
    <row r="32" spans="2:17">
      <c r="B32" s="9"/>
      <c r="C32" s="9"/>
      <c r="D32" s="9"/>
      <c r="E32" s="9"/>
      <c r="F32" s="9"/>
      <c r="G32" s="9"/>
      <c r="H32" s="9"/>
      <c r="I32" s="9"/>
      <c r="J32" s="9"/>
      <c r="K32" s="9"/>
      <c r="L32" s="9"/>
      <c r="M32" s="9"/>
      <c r="N32" s="19"/>
    </row>
    <row r="33" spans="2:14">
      <c r="B33" s="9"/>
      <c r="C33" s="9"/>
      <c r="D33" s="9"/>
      <c r="E33" s="9"/>
      <c r="F33" s="9"/>
      <c r="G33" s="9"/>
      <c r="H33" s="9"/>
      <c r="I33" s="9"/>
      <c r="J33" s="9"/>
      <c r="K33" s="9"/>
      <c r="L33" s="9"/>
      <c r="M33" s="9"/>
      <c r="N33" s="19"/>
    </row>
    <row r="34" spans="2:14">
      <c r="B34" s="19"/>
      <c r="C34" s="19"/>
      <c r="D34" s="19"/>
      <c r="E34" s="19"/>
      <c r="F34" s="19"/>
      <c r="G34" s="19"/>
      <c r="H34" s="19"/>
      <c r="I34" s="19"/>
      <c r="J34" s="19"/>
      <c r="K34" s="19"/>
      <c r="L34" s="19"/>
      <c r="M34" s="19"/>
      <c r="N34" s="19"/>
    </row>
    <row r="35" spans="2:14">
      <c r="B35" s="19"/>
      <c r="C35" s="19"/>
      <c r="D35" s="19"/>
      <c r="E35" s="19"/>
      <c r="F35" s="19"/>
      <c r="G35" s="19"/>
      <c r="H35" s="19"/>
      <c r="I35" s="19"/>
      <c r="J35" s="19"/>
      <c r="K35" s="19"/>
      <c r="L35" s="19"/>
      <c r="M35" s="19"/>
      <c r="N35" s="19"/>
    </row>
  </sheetData>
  <mergeCells count="59">
    <mergeCell ref="J21:M21"/>
    <mergeCell ref="B15:C19"/>
    <mergeCell ref="B10:C14"/>
    <mergeCell ref="B3:C9"/>
    <mergeCell ref="D28:F28"/>
    <mergeCell ref="E19:F19"/>
    <mergeCell ref="E15:F15"/>
    <mergeCell ref="C25:E25"/>
    <mergeCell ref="E9:F9"/>
    <mergeCell ref="E6:F6"/>
    <mergeCell ref="I19:J19"/>
    <mergeCell ref="E7:F7"/>
    <mergeCell ref="E8:F8"/>
    <mergeCell ref="E10:F10"/>
    <mergeCell ref="E11:F11"/>
    <mergeCell ref="I12:J12"/>
    <mergeCell ref="E2:F2"/>
    <mergeCell ref="E3:F3"/>
    <mergeCell ref="E4:F4"/>
    <mergeCell ref="E5:F5"/>
    <mergeCell ref="I18:J18"/>
    <mergeCell ref="I2:J2"/>
    <mergeCell ref="I8:J8"/>
    <mergeCell ref="I11:J11"/>
    <mergeCell ref="I9:J9"/>
    <mergeCell ref="I6:J6"/>
    <mergeCell ref="G11:H11"/>
    <mergeCell ref="G12:H12"/>
    <mergeCell ref="G13:H13"/>
    <mergeCell ref="E12:F12"/>
    <mergeCell ref="E13:F13"/>
    <mergeCell ref="E14:F14"/>
    <mergeCell ref="G10:H10"/>
    <mergeCell ref="I7:J7"/>
    <mergeCell ref="E16:F16"/>
    <mergeCell ref="E17:F17"/>
    <mergeCell ref="E18:F18"/>
    <mergeCell ref="I10:J10"/>
    <mergeCell ref="I13:J13"/>
    <mergeCell ref="I14:J14"/>
    <mergeCell ref="I15:J15"/>
    <mergeCell ref="I16:J16"/>
    <mergeCell ref="I17:J17"/>
    <mergeCell ref="L1:N1"/>
    <mergeCell ref="L6:M6"/>
    <mergeCell ref="G14:H14"/>
    <mergeCell ref="L3:M3"/>
    <mergeCell ref="L4:M4"/>
    <mergeCell ref="L5:M5"/>
    <mergeCell ref="L7:M7"/>
    <mergeCell ref="L8:M8"/>
    <mergeCell ref="I3:J3"/>
    <mergeCell ref="I4:J4"/>
    <mergeCell ref="I5:J5"/>
    <mergeCell ref="G3:H3"/>
    <mergeCell ref="G4:H4"/>
    <mergeCell ref="G5:H5"/>
    <mergeCell ref="G7:H7"/>
    <mergeCell ref="G6:H6"/>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5EBF1-49DD-42ED-9E56-F8A0B581A1DF}">
  <dimension ref="B1:V93"/>
  <sheetViews>
    <sheetView zoomScale="85" zoomScaleNormal="85" workbookViewId="0">
      <selection activeCell="P13" sqref="P13"/>
    </sheetView>
  </sheetViews>
  <sheetFormatPr defaultRowHeight="15.75"/>
  <cols>
    <col min="3" max="3" width="23.140625" customWidth="1"/>
    <col min="4" max="4" width="16.28515625" customWidth="1"/>
    <col min="5" max="5" width="24.5703125" customWidth="1"/>
    <col min="6" max="6" width="31.28515625" customWidth="1"/>
    <col min="7" max="7" width="16.28515625" customWidth="1"/>
    <col min="8" max="8" width="10.7109375" customWidth="1"/>
    <col min="11" max="11" width="27.42578125" customWidth="1"/>
    <col min="12" max="12" width="13" customWidth="1"/>
    <col min="13" max="13" width="10.140625" customWidth="1"/>
    <col min="14" max="14" width="13.28515625" customWidth="1"/>
    <col min="15" max="15" width="11.28515625" customWidth="1"/>
    <col min="16" max="16" width="11.85546875" customWidth="1"/>
    <col min="17" max="17" width="12.7109375" bestFit="1" customWidth="1"/>
    <col min="18" max="18" width="7.42578125" customWidth="1"/>
    <col min="19" max="19" width="13.7109375" customWidth="1"/>
    <col min="20" max="20" width="17.28515625" customWidth="1"/>
    <col min="21" max="21" width="40" customWidth="1"/>
  </cols>
  <sheetData>
    <row r="1" spans="2:22" ht="21.75" thickBot="1">
      <c r="J1" s="309" t="s">
        <v>355</v>
      </c>
      <c r="K1" s="310"/>
      <c r="L1" s="311"/>
    </row>
    <row r="3" spans="2:22" ht="20.25">
      <c r="B3" s="81" t="s">
        <v>219</v>
      </c>
    </row>
    <row r="4" spans="2:22" ht="18.75">
      <c r="J4" s="80" t="s">
        <v>190</v>
      </c>
      <c r="R4" s="80" t="s">
        <v>343</v>
      </c>
      <c r="S4" s="80"/>
    </row>
    <row r="5" spans="2:22" ht="16.5" thickBot="1"/>
    <row r="6" spans="2:22" ht="15.6" customHeight="1" thickBot="1">
      <c r="B6" s="322" t="s">
        <v>171</v>
      </c>
      <c r="C6" s="322"/>
      <c r="D6" s="319" t="s">
        <v>37</v>
      </c>
      <c r="E6" s="320"/>
      <c r="F6" s="320"/>
      <c r="G6" s="321"/>
      <c r="J6" s="324" t="s">
        <v>193</v>
      </c>
      <c r="K6" s="324"/>
      <c r="L6" s="324"/>
      <c r="M6" s="323" t="s">
        <v>81</v>
      </c>
      <c r="N6" s="323"/>
      <c r="O6" s="312" t="s">
        <v>82</v>
      </c>
      <c r="P6" s="313"/>
      <c r="R6" s="322" t="s">
        <v>193</v>
      </c>
      <c r="S6" s="322"/>
      <c r="T6" s="319" t="s">
        <v>216</v>
      </c>
      <c r="U6" s="320"/>
      <c r="V6" s="321"/>
    </row>
    <row r="7" spans="2:22" ht="28.15" customHeight="1" thickBot="1">
      <c r="B7" s="334" t="s">
        <v>172</v>
      </c>
      <c r="C7" s="335"/>
      <c r="D7" s="65" t="s">
        <v>173</v>
      </c>
      <c r="E7" s="65" t="s">
        <v>175</v>
      </c>
      <c r="F7" s="65" t="s">
        <v>177</v>
      </c>
      <c r="G7" s="39" t="s">
        <v>178</v>
      </c>
      <c r="J7" s="70" t="s">
        <v>83</v>
      </c>
      <c r="K7" s="70" t="s">
        <v>84</v>
      </c>
      <c r="L7" s="70" t="s">
        <v>85</v>
      </c>
      <c r="M7" s="70" t="s">
        <v>86</v>
      </c>
      <c r="N7" s="70" t="s">
        <v>87</v>
      </c>
      <c r="O7" s="70" t="s">
        <v>282</v>
      </c>
      <c r="P7" s="70" t="s">
        <v>88</v>
      </c>
      <c r="R7" s="76" t="s">
        <v>83</v>
      </c>
      <c r="S7" s="76" t="s">
        <v>213</v>
      </c>
      <c r="T7" s="76" t="s">
        <v>344</v>
      </c>
      <c r="U7" s="76" t="s">
        <v>345</v>
      </c>
      <c r="V7" s="76" t="s">
        <v>215</v>
      </c>
    </row>
    <row r="8" spans="2:22" ht="39.6" customHeight="1" thickBot="1">
      <c r="B8" s="336"/>
      <c r="C8" s="337"/>
      <c r="D8" s="66" t="s">
        <v>174</v>
      </c>
      <c r="E8" s="66" t="s">
        <v>176</v>
      </c>
      <c r="F8" s="66" t="s">
        <v>19</v>
      </c>
      <c r="G8" s="66" t="s">
        <v>179</v>
      </c>
      <c r="J8" s="71" t="s">
        <v>89</v>
      </c>
      <c r="K8" s="117" t="s">
        <v>289</v>
      </c>
      <c r="L8" s="117">
        <v>31903.599999999999</v>
      </c>
      <c r="M8" s="117">
        <v>30.25</v>
      </c>
      <c r="N8" s="72">
        <f>L8*M8</f>
        <v>965083.89999999991</v>
      </c>
      <c r="O8" s="117">
        <f>21.2*1</f>
        <v>21.2</v>
      </c>
      <c r="P8" s="45">
        <f>O8*L8</f>
        <v>676356.32</v>
      </c>
      <c r="R8" s="71" t="s">
        <v>94</v>
      </c>
      <c r="S8" s="122"/>
      <c r="T8" s="122"/>
      <c r="U8" s="122"/>
      <c r="V8" s="1">
        <f>T8*U8</f>
        <v>0</v>
      </c>
    </row>
    <row r="9" spans="2:22" ht="16.5" thickBot="1">
      <c r="B9" s="338" t="s">
        <v>180</v>
      </c>
      <c r="C9" s="339"/>
      <c r="D9" s="33">
        <f>'2_主結構碳排密度計算參數'!G22</f>
        <v>12554165.993097955</v>
      </c>
      <c r="E9" s="67"/>
      <c r="F9" s="34">
        <f>D9+E9</f>
        <v>12554165.993097955</v>
      </c>
      <c r="G9" s="138">
        <f>F9/($F$17+$F$9)</f>
        <v>0.66277806256392124</v>
      </c>
      <c r="J9" s="71" t="s">
        <v>191</v>
      </c>
      <c r="K9" s="117" t="s">
        <v>290</v>
      </c>
      <c r="L9" s="117">
        <v>10000</v>
      </c>
      <c r="M9" s="117">
        <v>14.76</v>
      </c>
      <c r="N9" s="72">
        <f>L9*M9</f>
        <v>147600</v>
      </c>
      <c r="O9" s="117">
        <f>5.71*3</f>
        <v>17.13</v>
      </c>
      <c r="P9" s="45">
        <f>O9*L9</f>
        <v>171300</v>
      </c>
      <c r="R9" s="71" t="s">
        <v>96</v>
      </c>
      <c r="S9" s="122"/>
      <c r="T9" s="122"/>
      <c r="U9" s="122"/>
      <c r="V9" s="1">
        <f>T9*U9</f>
        <v>0</v>
      </c>
    </row>
    <row r="10" spans="2:22" ht="16.5" thickBot="1">
      <c r="B10" s="340" t="s">
        <v>181</v>
      </c>
      <c r="C10" s="7" t="s">
        <v>182</v>
      </c>
      <c r="D10" s="34">
        <f>N11</f>
        <v>1112683.8999999999</v>
      </c>
      <c r="E10" s="34">
        <f>P11</f>
        <v>847656.32</v>
      </c>
      <c r="F10" s="34">
        <f t="shared" ref="F10:F16" si="0">D10+E10</f>
        <v>1960340.2199999997</v>
      </c>
      <c r="G10" s="138">
        <f t="shared" ref="G10:G16" si="1">F10/($F$17+$F$9)</f>
        <v>0.10349317459176863</v>
      </c>
      <c r="H10" s="41">
        <f>F10-F20</f>
        <v>-195600</v>
      </c>
      <c r="J10" s="71" t="s">
        <v>192</v>
      </c>
      <c r="K10" s="71"/>
      <c r="L10" s="71"/>
      <c r="M10" s="71"/>
      <c r="N10" s="72"/>
      <c r="O10" s="71"/>
      <c r="P10" s="45"/>
      <c r="R10" s="71" t="s">
        <v>98</v>
      </c>
      <c r="S10" s="122"/>
      <c r="T10" s="122"/>
      <c r="U10" s="122"/>
      <c r="V10" s="1">
        <f>T10*U10</f>
        <v>0</v>
      </c>
    </row>
    <row r="11" spans="2:22" ht="16.5" thickBot="1">
      <c r="B11" s="341"/>
      <c r="C11" s="7" t="s">
        <v>183</v>
      </c>
      <c r="D11" s="34">
        <f>N25</f>
        <v>234652.24350000001</v>
      </c>
      <c r="E11" s="34">
        <f>P25</f>
        <v>0</v>
      </c>
      <c r="F11" s="34">
        <f t="shared" si="0"/>
        <v>234652.24350000001</v>
      </c>
      <c r="G11" s="138">
        <f t="shared" si="1"/>
        <v>1.238810761373641E-2</v>
      </c>
      <c r="H11" s="41">
        <f t="shared" ref="H11:H16" si="2">F11-F21</f>
        <v>0</v>
      </c>
      <c r="J11" s="73"/>
      <c r="K11" s="73" t="s">
        <v>91</v>
      </c>
      <c r="L11" s="74">
        <f>SUM(L8:L10)</f>
        <v>41903.599999999999</v>
      </c>
      <c r="M11" s="73"/>
      <c r="N11" s="74">
        <f>SUM(N8:N10)</f>
        <v>1112683.8999999999</v>
      </c>
      <c r="O11" s="75"/>
      <c r="P11" s="74">
        <f>SUM(P8:P10)</f>
        <v>847656.32</v>
      </c>
      <c r="R11" s="1"/>
      <c r="S11" s="1"/>
      <c r="T11" s="75"/>
      <c r="U11" s="75"/>
      <c r="V11" s="77">
        <f>SUM(V8:V10)</f>
        <v>0</v>
      </c>
    </row>
    <row r="12" spans="2:22" ht="15.6" customHeight="1" thickBot="1">
      <c r="B12" s="341"/>
      <c r="C12" s="7" t="s">
        <v>184</v>
      </c>
      <c r="D12" s="34">
        <f>N40</f>
        <v>0</v>
      </c>
      <c r="E12" s="34">
        <f>P40</f>
        <v>0</v>
      </c>
      <c r="F12" s="34">
        <f>D12+E12</f>
        <v>0</v>
      </c>
      <c r="G12" s="138">
        <f t="shared" si="1"/>
        <v>0</v>
      </c>
      <c r="H12" s="41">
        <f t="shared" si="2"/>
        <v>0</v>
      </c>
      <c r="J12" s="324" t="s">
        <v>281</v>
      </c>
      <c r="K12" s="324"/>
      <c r="L12" s="324"/>
      <c r="M12" s="323" t="s">
        <v>280</v>
      </c>
      <c r="N12" s="323"/>
      <c r="O12" s="312" t="s">
        <v>102</v>
      </c>
      <c r="P12" s="313"/>
      <c r="R12" s="333" t="s">
        <v>346</v>
      </c>
      <c r="S12" s="333"/>
      <c r="T12" s="333"/>
      <c r="U12" s="333"/>
      <c r="V12" s="333"/>
    </row>
    <row r="13" spans="2:22" ht="16.5" thickBot="1">
      <c r="B13" s="341"/>
      <c r="C13" s="7" t="s">
        <v>185</v>
      </c>
      <c r="D13" s="34">
        <f>N52</f>
        <v>310658</v>
      </c>
      <c r="E13" s="34">
        <f>P52</f>
        <v>0</v>
      </c>
      <c r="F13" s="34">
        <f t="shared" si="0"/>
        <v>310658</v>
      </c>
      <c r="G13" s="138">
        <f t="shared" si="1"/>
        <v>1.6400715704506467E-2</v>
      </c>
      <c r="H13" s="41">
        <f t="shared" si="2"/>
        <v>-206300.25159999996</v>
      </c>
      <c r="J13" s="76" t="s">
        <v>83</v>
      </c>
      <c r="K13" s="76" t="s">
        <v>84</v>
      </c>
      <c r="L13" s="76" t="s">
        <v>85</v>
      </c>
      <c r="M13" s="70" t="s">
        <v>86</v>
      </c>
      <c r="N13" s="70" t="s">
        <v>87</v>
      </c>
      <c r="O13" s="70" t="s">
        <v>284</v>
      </c>
      <c r="P13" s="70" t="s">
        <v>88</v>
      </c>
      <c r="R13" s="333"/>
      <c r="S13" s="333"/>
      <c r="T13" s="333"/>
      <c r="U13" s="333"/>
      <c r="V13" s="333"/>
    </row>
    <row r="14" spans="2:22" ht="16.5" thickBot="1">
      <c r="B14" s="341"/>
      <c r="C14" s="7" t="s">
        <v>186</v>
      </c>
      <c r="D14" s="34">
        <f>N63</f>
        <v>153419.1954</v>
      </c>
      <c r="E14" s="34">
        <f>P63</f>
        <v>767095.97700000007</v>
      </c>
      <c r="F14" s="34">
        <f t="shared" si="0"/>
        <v>920515.17240000004</v>
      </c>
      <c r="G14" s="138">
        <f t="shared" si="1"/>
        <v>4.8597195772254881E-2</v>
      </c>
      <c r="H14" s="41">
        <f t="shared" si="2"/>
        <v>0</v>
      </c>
      <c r="J14" s="71" t="s">
        <v>89</v>
      </c>
      <c r="K14" s="71" t="s">
        <v>90</v>
      </c>
      <c r="L14" s="72">
        <f>L11</f>
        <v>41903.599999999999</v>
      </c>
      <c r="M14" s="71">
        <v>30.25</v>
      </c>
      <c r="N14" s="72">
        <f>L14*M14</f>
        <v>1267583.8999999999</v>
      </c>
      <c r="O14" s="71">
        <v>21.2</v>
      </c>
      <c r="P14" s="45">
        <f>O14*L14</f>
        <v>888356.32</v>
      </c>
      <c r="Q14" s="41">
        <f>N11-N15</f>
        <v>-154900</v>
      </c>
      <c r="R14" s="333"/>
      <c r="S14" s="333"/>
      <c r="T14" s="333"/>
      <c r="U14" s="333"/>
      <c r="V14" s="333"/>
    </row>
    <row r="15" spans="2:22" ht="16.5" thickBot="1">
      <c r="B15" s="341"/>
      <c r="C15" s="7" t="s">
        <v>187</v>
      </c>
      <c r="D15" s="34">
        <f>N73</f>
        <v>1797338.9286000002</v>
      </c>
      <c r="E15" s="34">
        <f>P73</f>
        <v>547780.12199999997</v>
      </c>
      <c r="F15" s="34">
        <f>D15+E15</f>
        <v>2345119.0506000002</v>
      </c>
      <c r="G15" s="138">
        <f t="shared" si="1"/>
        <v>0.12380698659655544</v>
      </c>
      <c r="H15" s="41">
        <f t="shared" si="2"/>
        <v>0</v>
      </c>
      <c r="J15" s="78"/>
      <c r="K15" s="73" t="s">
        <v>91</v>
      </c>
      <c r="L15" s="77">
        <f>L14</f>
        <v>41903.599999999999</v>
      </c>
      <c r="M15" s="73" t="s">
        <v>91</v>
      </c>
      <c r="N15" s="77">
        <f>N14</f>
        <v>1267583.8999999999</v>
      </c>
      <c r="O15" s="75"/>
      <c r="P15" s="74">
        <f>P14</f>
        <v>888356.32</v>
      </c>
    </row>
    <row r="16" spans="2:22" ht="15.6" customHeight="1" thickBot="1">
      <c r="B16" s="341"/>
      <c r="C16" s="7" t="s">
        <v>188</v>
      </c>
      <c r="D16" s="34">
        <f>N87</f>
        <v>420256.99530000001</v>
      </c>
      <c r="E16" s="34">
        <f>P87</f>
        <v>196026.67360000001</v>
      </c>
      <c r="F16" s="34">
        <f t="shared" si="0"/>
        <v>616283.66890000005</v>
      </c>
      <c r="G16" s="138">
        <f t="shared" si="1"/>
        <v>3.2535757157256838E-2</v>
      </c>
      <c r="H16" s="41">
        <f t="shared" si="2"/>
        <v>67489.116000000038</v>
      </c>
      <c r="J16" s="314" t="s">
        <v>198</v>
      </c>
      <c r="K16" s="315"/>
      <c r="L16" s="315"/>
      <c r="M16" s="315"/>
      <c r="N16" s="315"/>
      <c r="O16" s="315"/>
      <c r="P16" s="316"/>
    </row>
    <row r="17" spans="2:22" ht="19.5" thickBot="1">
      <c r="B17" s="342"/>
      <c r="C17" s="69" t="s">
        <v>305</v>
      </c>
      <c r="D17" s="38">
        <f>SUM(D10:D16)</f>
        <v>4029009.2628000001</v>
      </c>
      <c r="E17" s="38">
        <f>SUM(E10:E16)</f>
        <v>2358559.0925999996</v>
      </c>
      <c r="F17" s="38">
        <f>SUM(F10:F16)</f>
        <v>6387568.3553999998</v>
      </c>
      <c r="G17" s="68">
        <f>F17/$F$17</f>
        <v>1</v>
      </c>
      <c r="R17" s="80" t="s">
        <v>347</v>
      </c>
    </row>
    <row r="18" spans="2:22" ht="18.600000000000001" customHeight="1" thickBot="1">
      <c r="B18" s="322" t="s">
        <v>171</v>
      </c>
      <c r="C18" s="322"/>
      <c r="D18" s="319" t="s">
        <v>224</v>
      </c>
      <c r="E18" s="320"/>
      <c r="F18" s="320"/>
      <c r="G18" s="321"/>
      <c r="J18" s="80" t="s">
        <v>196</v>
      </c>
      <c r="K18" s="80"/>
      <c r="R18" s="322" t="s">
        <v>193</v>
      </c>
      <c r="S18" s="322"/>
      <c r="T18" s="319" t="s">
        <v>216</v>
      </c>
      <c r="U18" s="320"/>
      <c r="V18" s="321"/>
    </row>
    <row r="19" spans="2:22" ht="18.600000000000001" customHeight="1" thickBot="1">
      <c r="B19" s="338" t="s">
        <v>180</v>
      </c>
      <c r="C19" s="339"/>
      <c r="D19" s="91">
        <f>'2_主結構碳排密度計算參數'!H22</f>
        <v>15620641.409835001</v>
      </c>
      <c r="E19" s="89"/>
      <c r="F19" s="34">
        <f>D19+E19</f>
        <v>15620641.409835001</v>
      </c>
      <c r="G19" s="137">
        <f>F19/$F$27</f>
        <v>0.69914095929771669</v>
      </c>
      <c r="J19" s="322" t="s">
        <v>193</v>
      </c>
      <c r="K19" s="322"/>
      <c r="L19" s="322"/>
      <c r="M19" s="323" t="s">
        <v>92</v>
      </c>
      <c r="N19" s="323"/>
      <c r="O19" s="312" t="s">
        <v>283</v>
      </c>
      <c r="P19" s="313"/>
      <c r="R19" s="76" t="s">
        <v>83</v>
      </c>
      <c r="S19" s="76" t="s">
        <v>213</v>
      </c>
      <c r="T19" s="76" t="s">
        <v>214</v>
      </c>
      <c r="U19" s="76" t="s">
        <v>279</v>
      </c>
      <c r="V19" s="76" t="s">
        <v>215</v>
      </c>
    </row>
    <row r="20" spans="2:22" ht="15.6" customHeight="1" thickBot="1">
      <c r="B20" s="340" t="s">
        <v>181</v>
      </c>
      <c r="C20" s="7" t="s">
        <v>182</v>
      </c>
      <c r="D20" s="63">
        <f>N15</f>
        <v>1267583.8999999999</v>
      </c>
      <c r="E20" s="63">
        <f>P15</f>
        <v>888356.32</v>
      </c>
      <c r="F20" s="34">
        <f t="shared" ref="F20:F26" si="3">D20+E20</f>
        <v>2155940.2199999997</v>
      </c>
      <c r="G20" s="137">
        <f t="shared" ref="G20:G27" si="4">F20/$F$27</f>
        <v>9.6494508391333181E-2</v>
      </c>
      <c r="J20" s="76" t="s">
        <v>83</v>
      </c>
      <c r="K20" s="76" t="s">
        <v>84</v>
      </c>
      <c r="L20" s="76" t="s">
        <v>85</v>
      </c>
      <c r="M20" s="70" t="s">
        <v>86</v>
      </c>
      <c r="N20" s="70" t="s">
        <v>87</v>
      </c>
      <c r="O20" s="70" t="s">
        <v>284</v>
      </c>
      <c r="P20" s="70" t="s">
        <v>88</v>
      </c>
      <c r="R20" s="71" t="s">
        <v>94</v>
      </c>
      <c r="S20" s="122"/>
      <c r="T20" s="122"/>
      <c r="U20" s="122"/>
      <c r="V20" s="1">
        <f>T20*U20</f>
        <v>0</v>
      </c>
    </row>
    <row r="21" spans="2:22" ht="16.5" thickBot="1">
      <c r="B21" s="341"/>
      <c r="C21" s="7" t="s">
        <v>183</v>
      </c>
      <c r="D21" s="63">
        <f>N32</f>
        <v>234652.24350000001</v>
      </c>
      <c r="E21" s="34">
        <f>P32</f>
        <v>0</v>
      </c>
      <c r="F21" s="34">
        <f t="shared" si="3"/>
        <v>234652.24350000001</v>
      </c>
      <c r="G21" s="137">
        <f t="shared" si="4"/>
        <v>1.0502449311630687E-2</v>
      </c>
      <c r="J21" s="71" t="s">
        <v>94</v>
      </c>
      <c r="K21" s="131" t="s">
        <v>302</v>
      </c>
      <c r="L21" s="117">
        <v>2477.48</v>
      </c>
      <c r="M21" s="132">
        <v>45.45</v>
      </c>
      <c r="N21" s="72">
        <f>L21*M21</f>
        <v>112601.46600000001</v>
      </c>
      <c r="O21" s="117">
        <v>0</v>
      </c>
      <c r="P21" s="45">
        <f>O21*L21</f>
        <v>0</v>
      </c>
      <c r="R21" s="71" t="s">
        <v>96</v>
      </c>
      <c r="S21" s="122"/>
      <c r="T21" s="122"/>
      <c r="U21" s="122"/>
      <c r="V21" s="1">
        <f>T21*U21</f>
        <v>0</v>
      </c>
    </row>
    <row r="22" spans="2:22" ht="15.6" customHeight="1" thickBot="1">
      <c r="B22" s="341"/>
      <c r="C22" s="7" t="s">
        <v>275</v>
      </c>
      <c r="D22" s="34">
        <f>N44</f>
        <v>0</v>
      </c>
      <c r="E22" s="34"/>
      <c r="F22" s="34">
        <f t="shared" si="3"/>
        <v>0</v>
      </c>
      <c r="G22" s="137">
        <f t="shared" si="4"/>
        <v>0</v>
      </c>
      <c r="J22" s="71" t="s">
        <v>96</v>
      </c>
      <c r="K22" s="131" t="s">
        <v>301</v>
      </c>
      <c r="L22" s="117">
        <v>1599.36</v>
      </c>
      <c r="M22" s="132">
        <v>49.55</v>
      </c>
      <c r="N22" s="72">
        <f>L22*M22</f>
        <v>79248.287999999986</v>
      </c>
      <c r="O22" s="117">
        <v>0</v>
      </c>
      <c r="P22" s="45">
        <f t="shared" ref="P22:P24" si="5">O22*L22</f>
        <v>0</v>
      </c>
      <c r="R22" s="71" t="s">
        <v>98</v>
      </c>
      <c r="S22" s="122"/>
      <c r="T22" s="122"/>
      <c r="U22" s="122"/>
      <c r="V22" s="1">
        <f>T22*U22</f>
        <v>0</v>
      </c>
    </row>
    <row r="23" spans="2:22" ht="16.899999999999999" customHeight="1" thickBot="1">
      <c r="B23" s="341"/>
      <c r="C23" s="7" t="s">
        <v>185</v>
      </c>
      <c r="D23" s="63">
        <f>N56</f>
        <v>516958.25159999996</v>
      </c>
      <c r="E23" s="34">
        <f>P56</f>
        <v>0</v>
      </c>
      <c r="F23" s="34">
        <f t="shared" si="3"/>
        <v>516958.25159999996</v>
      </c>
      <c r="G23" s="137">
        <f t="shared" si="4"/>
        <v>2.313776230167696E-2</v>
      </c>
      <c r="J23" s="71" t="s">
        <v>98</v>
      </c>
      <c r="K23" s="131" t="s">
        <v>99</v>
      </c>
      <c r="L23" s="117">
        <v>494.07</v>
      </c>
      <c r="M23" s="132">
        <v>45.45</v>
      </c>
      <c r="N23" s="72">
        <f>L23*M23</f>
        <v>22455.481500000002</v>
      </c>
      <c r="O23" s="117">
        <v>0</v>
      </c>
      <c r="P23" s="45">
        <f t="shared" si="5"/>
        <v>0</v>
      </c>
      <c r="R23" s="1"/>
      <c r="S23" s="1"/>
      <c r="T23" s="75"/>
      <c r="U23" s="75"/>
      <c r="V23" s="77">
        <f>SUM(V20:V22)</f>
        <v>0</v>
      </c>
    </row>
    <row r="24" spans="2:22" ht="15.6" customHeight="1" thickBot="1">
      <c r="B24" s="341"/>
      <c r="C24" s="7" t="s">
        <v>186</v>
      </c>
      <c r="D24" s="63">
        <f>N63</f>
        <v>153419.1954</v>
      </c>
      <c r="E24" s="63">
        <f>P63</f>
        <v>767095.97700000007</v>
      </c>
      <c r="F24" s="34">
        <f t="shared" si="3"/>
        <v>920515.17240000004</v>
      </c>
      <c r="G24" s="137">
        <f t="shared" si="4"/>
        <v>4.1199963803959891E-2</v>
      </c>
      <c r="J24" s="71" t="s">
        <v>100</v>
      </c>
      <c r="K24" s="131" t="s">
        <v>101</v>
      </c>
      <c r="L24" s="117">
        <v>578.04</v>
      </c>
      <c r="M24" s="132">
        <v>35.200000000000003</v>
      </c>
      <c r="N24" s="72">
        <f>L24*M24</f>
        <v>20347.008000000002</v>
      </c>
      <c r="O24" s="117">
        <v>0</v>
      </c>
      <c r="P24" s="45">
        <f t="shared" si="5"/>
        <v>0</v>
      </c>
      <c r="R24" s="333" t="s">
        <v>348</v>
      </c>
      <c r="S24" s="333"/>
      <c r="T24" s="333"/>
      <c r="U24" s="333"/>
      <c r="V24" s="333"/>
    </row>
    <row r="25" spans="2:22" ht="16.5" thickBot="1">
      <c r="B25" s="341"/>
      <c r="C25" s="7" t="s">
        <v>187</v>
      </c>
      <c r="D25" s="63">
        <f>N77</f>
        <v>1797338.9286000002</v>
      </c>
      <c r="E25" s="63">
        <f>P77</f>
        <v>547780.12199999997</v>
      </c>
      <c r="F25" s="34">
        <f t="shared" si="3"/>
        <v>2345119.0506000002</v>
      </c>
      <c r="G25" s="137">
        <f t="shared" si="4"/>
        <v>0.10496168112991419</v>
      </c>
      <c r="J25" s="1"/>
      <c r="K25" s="73" t="s">
        <v>91</v>
      </c>
      <c r="L25" s="77">
        <f>SUM(L21:L24)</f>
        <v>5148.95</v>
      </c>
      <c r="M25" s="73"/>
      <c r="N25" s="77">
        <f>SUM(N21:N24)</f>
        <v>234652.24350000001</v>
      </c>
      <c r="O25" s="75"/>
      <c r="P25" s="77">
        <f>SUM(P21:P24)</f>
        <v>0</v>
      </c>
      <c r="R25" s="333"/>
      <c r="S25" s="333"/>
      <c r="T25" s="333"/>
      <c r="U25" s="333"/>
      <c r="V25" s="333"/>
    </row>
    <row r="26" spans="2:22" ht="15.6" customHeight="1" thickBot="1">
      <c r="B26" s="341"/>
      <c r="C26" s="7" t="s">
        <v>188</v>
      </c>
      <c r="D26" s="63">
        <f>N91</f>
        <v>386512.43729999999</v>
      </c>
      <c r="E26" s="63">
        <f>P91</f>
        <v>162282.11559999999</v>
      </c>
      <c r="F26" s="34">
        <f t="shared" si="3"/>
        <v>548794.55290000001</v>
      </c>
      <c r="G26" s="137">
        <f t="shared" si="4"/>
        <v>2.4562675763768162E-2</v>
      </c>
      <c r="J26" s="322" t="s">
        <v>194</v>
      </c>
      <c r="K26" s="322"/>
      <c r="L26" s="322"/>
      <c r="M26" s="323" t="s">
        <v>92</v>
      </c>
      <c r="N26" s="323"/>
      <c r="O26" s="312" t="s">
        <v>93</v>
      </c>
      <c r="P26" s="313"/>
      <c r="R26" s="333"/>
      <c r="S26" s="333"/>
      <c r="T26" s="333"/>
      <c r="U26" s="333"/>
      <c r="V26" s="333"/>
    </row>
    <row r="27" spans="2:22" ht="16.5" thickBot="1">
      <c r="B27" s="342"/>
      <c r="C27" s="69" t="s">
        <v>189</v>
      </c>
      <c r="D27" s="77">
        <f>SUM(D20:D26)</f>
        <v>4356464.9564000005</v>
      </c>
      <c r="E27" s="77">
        <f>SUM(E19:E26)</f>
        <v>2365514.5345999999</v>
      </c>
      <c r="F27" s="38">
        <f>SUM(F19:F26)</f>
        <v>22342620.900835007</v>
      </c>
      <c r="G27" s="137">
        <f t="shared" si="4"/>
        <v>1</v>
      </c>
      <c r="J27" s="76" t="s">
        <v>83</v>
      </c>
      <c r="K27" s="76" t="s">
        <v>84</v>
      </c>
      <c r="L27" s="76" t="s">
        <v>85</v>
      </c>
      <c r="M27" s="70" t="s">
        <v>86</v>
      </c>
      <c r="N27" s="70" t="s">
        <v>87</v>
      </c>
      <c r="O27" s="70" t="s">
        <v>284</v>
      </c>
      <c r="P27" s="70" t="s">
        <v>88</v>
      </c>
    </row>
    <row r="28" spans="2:22" ht="19.5" thickBot="1">
      <c r="J28" s="71" t="s">
        <v>94</v>
      </c>
      <c r="K28" s="116" t="s">
        <v>95</v>
      </c>
      <c r="L28" s="117">
        <v>2477.48</v>
      </c>
      <c r="M28" s="132">
        <v>45.45</v>
      </c>
      <c r="N28" s="72">
        <f>L28*M28</f>
        <v>112601.46600000001</v>
      </c>
      <c r="O28" s="71">
        <v>0</v>
      </c>
      <c r="P28" s="45">
        <f t="shared" ref="P28:P31" si="6">O28*L28</f>
        <v>0</v>
      </c>
      <c r="R28" s="326" t="s">
        <v>342</v>
      </c>
      <c r="S28" s="326"/>
    </row>
    <row r="29" spans="2:22" ht="16.5" thickBot="1">
      <c r="B29" s="346" t="s">
        <v>78</v>
      </c>
      <c r="C29" s="346"/>
      <c r="D29" s="97" t="s">
        <v>225</v>
      </c>
      <c r="E29" s="97" t="s">
        <v>226</v>
      </c>
      <c r="J29" s="71" t="s">
        <v>96</v>
      </c>
      <c r="K29" s="116" t="s">
        <v>97</v>
      </c>
      <c r="L29" s="117">
        <v>1599.36</v>
      </c>
      <c r="M29" s="132">
        <v>49.55</v>
      </c>
      <c r="N29" s="72">
        <f>L29*M29</f>
        <v>79248.287999999986</v>
      </c>
      <c r="O29" s="71">
        <v>0</v>
      </c>
      <c r="P29" s="45">
        <f t="shared" si="6"/>
        <v>0</v>
      </c>
      <c r="R29" s="319" t="s">
        <v>218</v>
      </c>
      <c r="S29" s="320"/>
      <c r="T29" s="320"/>
      <c r="U29" s="320"/>
      <c r="V29" s="321"/>
    </row>
    <row r="30" spans="2:22" ht="16.5" thickBot="1">
      <c r="B30" s="346"/>
      <c r="C30" s="346"/>
      <c r="D30" s="63">
        <f>D9+D17</f>
        <v>16583175.255897956</v>
      </c>
      <c r="E30" s="63">
        <f>D19+D27</f>
        <v>19977106.366235003</v>
      </c>
      <c r="J30" s="71" t="s">
        <v>98</v>
      </c>
      <c r="K30" s="116" t="s">
        <v>99</v>
      </c>
      <c r="L30" s="117">
        <v>494.07</v>
      </c>
      <c r="M30" s="132">
        <v>45.45</v>
      </c>
      <c r="N30" s="72">
        <f>L30*M30</f>
        <v>22455.481500000002</v>
      </c>
      <c r="O30" s="71">
        <v>0</v>
      </c>
      <c r="P30" s="45">
        <f t="shared" si="6"/>
        <v>0</v>
      </c>
      <c r="R30" s="146" t="s">
        <v>217</v>
      </c>
      <c r="S30" s="183">
        <v>0</v>
      </c>
      <c r="T30" s="184"/>
      <c r="U30" s="184"/>
      <c r="V30" s="148"/>
    </row>
    <row r="31" spans="2:22" ht="15.6" customHeight="1" thickBot="1">
      <c r="J31" s="71" t="s">
        <v>100</v>
      </c>
      <c r="K31" s="116" t="s">
        <v>101</v>
      </c>
      <c r="L31" s="117">
        <v>578.04</v>
      </c>
      <c r="M31" s="132">
        <v>35.200000000000003</v>
      </c>
      <c r="N31" s="72">
        <f>L31*M31</f>
        <v>20347.008000000002</v>
      </c>
      <c r="O31" s="71">
        <v>0</v>
      </c>
      <c r="P31" s="45">
        <f t="shared" si="6"/>
        <v>0</v>
      </c>
      <c r="R31" s="350" t="s">
        <v>349</v>
      </c>
      <c r="S31" s="351"/>
      <c r="T31" s="351"/>
      <c r="U31" s="351"/>
      <c r="V31" s="352"/>
    </row>
    <row r="32" spans="2:22" ht="16.5" thickBot="1">
      <c r="B32" s="343" t="s">
        <v>36</v>
      </c>
      <c r="C32" s="343"/>
      <c r="D32" s="17" t="s">
        <v>37</v>
      </c>
      <c r="E32" s="17" t="s">
        <v>38</v>
      </c>
      <c r="F32" s="343" t="s">
        <v>39</v>
      </c>
      <c r="G32" s="343"/>
      <c r="J32" s="325" t="s">
        <v>91</v>
      </c>
      <c r="K32" s="325"/>
      <c r="L32" s="77">
        <f>SUM(L28:L31)</f>
        <v>5148.95</v>
      </c>
      <c r="M32" s="73"/>
      <c r="N32" s="77">
        <f>SUM(N28:N31)</f>
        <v>234652.24350000001</v>
      </c>
      <c r="O32" s="75"/>
      <c r="P32" s="77">
        <f>SUM(P28:P31)</f>
        <v>0</v>
      </c>
      <c r="R32" s="353"/>
      <c r="S32" s="354"/>
      <c r="T32" s="354"/>
      <c r="U32" s="354"/>
      <c r="V32" s="355"/>
    </row>
    <row r="33" spans="2:22" ht="15.6" customHeight="1" thickBot="1">
      <c r="B33" s="345" t="s">
        <v>112</v>
      </c>
      <c r="C33" s="345"/>
      <c r="D33" s="115">
        <v>390</v>
      </c>
      <c r="E33" s="115">
        <v>390</v>
      </c>
      <c r="F33" s="344" t="s">
        <v>385</v>
      </c>
      <c r="G33" s="344"/>
      <c r="J33" s="314" t="s">
        <v>200</v>
      </c>
      <c r="K33" s="315"/>
      <c r="L33" s="315"/>
      <c r="M33" s="315"/>
      <c r="N33" s="315"/>
      <c r="O33" s="315"/>
      <c r="P33" s="316"/>
      <c r="R33" s="353"/>
      <c r="S33" s="354"/>
      <c r="T33" s="354"/>
      <c r="U33" s="354"/>
      <c r="V33" s="355"/>
    </row>
    <row r="34" spans="2:22" ht="16.5" thickBot="1">
      <c r="R34" s="356"/>
      <c r="S34" s="357"/>
      <c r="T34" s="357"/>
      <c r="U34" s="357"/>
      <c r="V34" s="358"/>
    </row>
    <row r="35" spans="2:22" ht="21" thickBot="1">
      <c r="B35" s="81" t="s">
        <v>113</v>
      </c>
      <c r="F35" s="100" t="s">
        <v>37</v>
      </c>
      <c r="G35" s="100" t="s">
        <v>38</v>
      </c>
      <c r="J35" s="80" t="s">
        <v>197</v>
      </c>
      <c r="K35" s="80"/>
    </row>
    <row r="36" spans="2:22" ht="19.899999999999999" customHeight="1" thickBot="1">
      <c r="B36" s="327" t="s">
        <v>79</v>
      </c>
      <c r="C36" s="328"/>
      <c r="D36" s="328"/>
      <c r="E36" s="329"/>
      <c r="F36" s="101">
        <f>(0.14+0.95*'2_主結構碳排密度計算參數'!G5)*'2_主結構碳排密度計算參數'!G3*(1+E17/D30)</f>
        <v>833128.25107952813</v>
      </c>
      <c r="G36" s="136">
        <f>F36</f>
        <v>833128.25107952813</v>
      </c>
      <c r="H36" s="16" t="s">
        <v>115</v>
      </c>
      <c r="J36" s="322" t="s">
        <v>193</v>
      </c>
      <c r="K36" s="322"/>
      <c r="L36" s="322"/>
      <c r="M36" s="323" t="s">
        <v>350</v>
      </c>
      <c r="N36" s="323"/>
      <c r="O36" s="312" t="s">
        <v>351</v>
      </c>
      <c r="P36" s="313"/>
    </row>
    <row r="37" spans="2:22" ht="15.6" customHeight="1" thickBot="1">
      <c r="B37" s="327" t="s">
        <v>80</v>
      </c>
      <c r="C37" s="328"/>
      <c r="D37" s="328"/>
      <c r="E37" s="329"/>
      <c r="F37" s="103">
        <f>(0.14+2.14*'2_主結構碳排密度計算參數'!$G$6)*'1_本案應揭露之碳足跡數據與碳足跡組成圖'!$D$10</f>
        <v>504916.37759999989</v>
      </c>
      <c r="G37" s="102">
        <f>F37</f>
        <v>504916.37759999989</v>
      </c>
      <c r="H37" s="16" t="s">
        <v>117</v>
      </c>
      <c r="J37" s="76" t="s">
        <v>83</v>
      </c>
      <c r="K37" s="76" t="s">
        <v>84</v>
      </c>
      <c r="L37" s="76" t="s">
        <v>85</v>
      </c>
      <c r="M37" s="70" t="s">
        <v>86</v>
      </c>
      <c r="N37" s="70" t="s">
        <v>87</v>
      </c>
      <c r="O37" s="70" t="s">
        <v>284</v>
      </c>
      <c r="P37" s="70" t="s">
        <v>88</v>
      </c>
    </row>
    <row r="38" spans="2:22" ht="16.5" thickBot="1">
      <c r="B38" s="16"/>
      <c r="C38" s="16"/>
      <c r="D38" s="16"/>
      <c r="E38" s="16"/>
      <c r="H38" s="16"/>
      <c r="J38" s="71" t="s">
        <v>201</v>
      </c>
      <c r="K38" s="118" t="s">
        <v>199</v>
      </c>
      <c r="L38" s="117">
        <v>0</v>
      </c>
      <c r="M38" s="117"/>
      <c r="N38" s="72">
        <f>L38*M38</f>
        <v>0</v>
      </c>
      <c r="O38" s="71">
        <v>0</v>
      </c>
      <c r="P38" s="45">
        <f t="shared" ref="P38:P39" si="7">O38*L38</f>
        <v>0</v>
      </c>
    </row>
    <row r="39" spans="2:22" ht="21" thickBot="1">
      <c r="B39" s="81" t="s">
        <v>114</v>
      </c>
      <c r="J39" s="71" t="s">
        <v>202</v>
      </c>
      <c r="K39" s="118" t="s">
        <v>278</v>
      </c>
      <c r="L39" s="117">
        <v>0</v>
      </c>
      <c r="M39" s="117"/>
      <c r="N39" s="72">
        <f>L39*M39</f>
        <v>0</v>
      </c>
      <c r="O39" s="71">
        <v>0</v>
      </c>
      <c r="P39" s="45">
        <f t="shared" si="7"/>
        <v>0</v>
      </c>
    </row>
    <row r="40" spans="2:22" ht="16.5" thickBot="1">
      <c r="B40" s="327" t="s">
        <v>106</v>
      </c>
      <c r="C40" s="328"/>
      <c r="D40" s="328"/>
      <c r="E40" s="329"/>
      <c r="F40" s="143">
        <f>(F41+F42)*(1+E17/D30)</f>
        <v>1506325.6325321824</v>
      </c>
      <c r="G40" s="144">
        <f>F40</f>
        <v>1506325.6325321824</v>
      </c>
      <c r="H40" s="16" t="s">
        <v>115</v>
      </c>
      <c r="J40" s="325" t="s">
        <v>91</v>
      </c>
      <c r="K40" s="325"/>
      <c r="L40" s="161">
        <f>SUM(L38:L39)</f>
        <v>0</v>
      </c>
      <c r="M40" s="73"/>
      <c r="N40" s="161">
        <f>SUM(N38:N39)</f>
        <v>0</v>
      </c>
      <c r="O40" s="75"/>
      <c r="P40" s="82">
        <f>SUM(P38:P39)</f>
        <v>0</v>
      </c>
    </row>
    <row r="41" spans="2:22" ht="16.899999999999999" customHeight="1" thickBot="1">
      <c r="B41" s="16"/>
      <c r="C41" s="16"/>
      <c r="D41" s="28" t="s">
        <v>107</v>
      </c>
      <c r="E41" s="16"/>
      <c r="F41" s="145">
        <f>(0.06*'2_主結構碳排密度計算參數'!$G$5+2.01)*'2_主結構碳排密度計算參數'!$G$3</f>
        <v>154669.75649999996</v>
      </c>
      <c r="G41" s="145">
        <f>(0.06*'2_主結構碳排密度計算參數'!$G$5+2.01)*'2_主結構碳排密度計算參數'!$G$3</f>
        <v>154669.75649999996</v>
      </c>
      <c r="H41" s="16"/>
      <c r="J41" s="322" t="s">
        <v>194</v>
      </c>
      <c r="K41" s="322"/>
      <c r="L41" s="322"/>
      <c r="M41" s="323" t="s">
        <v>350</v>
      </c>
      <c r="N41" s="323"/>
      <c r="O41" s="312" t="s">
        <v>351</v>
      </c>
      <c r="P41" s="313"/>
    </row>
    <row r="42" spans="2:22" ht="15.6" customHeight="1" thickBot="1">
      <c r="B42" s="16"/>
      <c r="C42" s="16"/>
      <c r="D42" s="16" t="s">
        <v>108</v>
      </c>
      <c r="E42" s="16"/>
      <c r="F42" s="145">
        <f>0.055*D33*'2_主結構碳排密度計算參數'!$G$3</f>
        <v>1164093.4304999998</v>
      </c>
      <c r="G42" s="145">
        <f>0.055*E33*'2_主結構碳排密度計算參數'!$G$3</f>
        <v>1164093.4304999998</v>
      </c>
      <c r="H42" s="16"/>
      <c r="J42" s="76" t="s">
        <v>83</v>
      </c>
      <c r="K42" s="76" t="s">
        <v>84</v>
      </c>
      <c r="L42" s="76" t="s">
        <v>85</v>
      </c>
      <c r="M42" s="70" t="s">
        <v>86</v>
      </c>
      <c r="N42" s="70" t="s">
        <v>87</v>
      </c>
      <c r="O42" s="70" t="s">
        <v>284</v>
      </c>
      <c r="P42" s="70" t="s">
        <v>88</v>
      </c>
    </row>
    <row r="43" spans="2:22" ht="17.25" thickBot="1">
      <c r="B43" s="327" t="s">
        <v>109</v>
      </c>
      <c r="C43" s="328"/>
      <c r="D43" s="328"/>
      <c r="E43" s="329"/>
      <c r="F43" s="143">
        <f>F44+F45</f>
        <v>1152535.1242500001</v>
      </c>
      <c r="G43" s="144">
        <f>G44+G45</f>
        <v>1152535.1242500001</v>
      </c>
      <c r="H43" s="16" t="s">
        <v>117</v>
      </c>
      <c r="J43" s="71" t="s">
        <v>201</v>
      </c>
      <c r="K43" s="90" t="s">
        <v>276</v>
      </c>
      <c r="L43" s="71">
        <f>L40</f>
        <v>0</v>
      </c>
      <c r="M43" s="71">
        <v>73.67</v>
      </c>
      <c r="N43" s="72">
        <f>L43*M43</f>
        <v>0</v>
      </c>
      <c r="O43" s="71">
        <v>0</v>
      </c>
      <c r="P43" s="45">
        <f>O43*L43</f>
        <v>0</v>
      </c>
    </row>
    <row r="44" spans="2:22" ht="16.5" thickBot="1">
      <c r="B44" s="16"/>
      <c r="C44" s="16"/>
      <c r="D44" s="16" t="s">
        <v>110</v>
      </c>
      <c r="E44" s="16"/>
      <c r="F44" s="145">
        <f>(0.135*'2_主結構碳排密度計算參數'!G6+2.01)*'2_主結構碳排密度計算參數'!G4</f>
        <v>54817.771049999996</v>
      </c>
      <c r="G44" s="145">
        <f>(0.135*'2_主結構碳排密度計算參數'!G6+2.01)*'2_主結構碳排密度計算參數'!G4</f>
        <v>54817.771049999996</v>
      </c>
      <c r="H44" s="16"/>
      <c r="J44" s="325"/>
      <c r="K44" s="325"/>
      <c r="L44" s="84">
        <f>SUM(L43:L43)</f>
        <v>0</v>
      </c>
      <c r="M44" s="73"/>
      <c r="N44" s="161">
        <f>N43</f>
        <v>0</v>
      </c>
      <c r="O44" s="75"/>
      <c r="P44" s="82">
        <f>P43</f>
        <v>0</v>
      </c>
    </row>
    <row r="45" spans="2:22" ht="16.149999999999999" customHeight="1" thickBot="1">
      <c r="C45" s="16"/>
      <c r="D45" s="28" t="s">
        <v>111</v>
      </c>
      <c r="E45" s="16"/>
      <c r="F45" s="145">
        <f>0.124*D33*'2_主結構碳排密度計算參數'!G4</f>
        <v>1097717.3532</v>
      </c>
      <c r="G45" s="145">
        <f>0.124*E33*'2_主結構碳排密度計算參數'!$G$4</f>
        <v>1097717.3532</v>
      </c>
      <c r="H45" s="16"/>
      <c r="J45" s="314" t="s">
        <v>203</v>
      </c>
      <c r="K45" s="315"/>
      <c r="L45" s="315"/>
      <c r="M45" s="315"/>
      <c r="N45" s="315"/>
      <c r="O45" s="315"/>
      <c r="P45" s="316"/>
    </row>
    <row r="47" spans="2:22" ht="19.5" thickBot="1">
      <c r="J47" s="326" t="s">
        <v>220</v>
      </c>
      <c r="K47" s="326"/>
    </row>
    <row r="48" spans="2:22" ht="16.899999999999999" customHeight="1" thickBot="1">
      <c r="B48" s="327" t="s">
        <v>341</v>
      </c>
      <c r="C48" s="328"/>
      <c r="D48" s="328"/>
      <c r="E48" s="328"/>
      <c r="F48" s="328"/>
      <c r="G48" s="329"/>
      <c r="J48" s="322" t="s">
        <v>193</v>
      </c>
      <c r="K48" s="322"/>
      <c r="L48" s="322"/>
      <c r="M48" s="323" t="s">
        <v>204</v>
      </c>
      <c r="N48" s="323"/>
      <c r="O48" s="312" t="s">
        <v>205</v>
      </c>
      <c r="P48" s="313"/>
    </row>
    <row r="49" spans="2:17" ht="41.45" customHeight="1" thickBot="1">
      <c r="D49" s="61" t="s">
        <v>227</v>
      </c>
      <c r="E49" s="185">
        <f>'2_主結構碳排密度計算參數'!H22-'2_主結構碳排密度計算參數'!G22</f>
        <v>3066475.4167370461</v>
      </c>
      <c r="J49" s="76" t="s">
        <v>83</v>
      </c>
      <c r="K49" s="85" t="s">
        <v>84</v>
      </c>
      <c r="L49" s="76" t="s">
        <v>85</v>
      </c>
      <c r="M49" s="70" t="s">
        <v>86</v>
      </c>
      <c r="N49" s="70" t="s">
        <v>87</v>
      </c>
      <c r="O49" s="70" t="s">
        <v>284</v>
      </c>
      <c r="P49" s="70" t="s">
        <v>88</v>
      </c>
    </row>
    <row r="50" spans="2:17" ht="16.5" thickBot="1">
      <c r="B50" s="16"/>
      <c r="C50" s="60"/>
      <c r="D50" s="61" t="s">
        <v>163</v>
      </c>
      <c r="E50" s="104">
        <f>F20-F10</f>
        <v>195600</v>
      </c>
      <c r="F50" s="16"/>
      <c r="G50" s="16"/>
      <c r="J50" s="71" t="s">
        <v>103</v>
      </c>
      <c r="K50" s="119" t="s">
        <v>287</v>
      </c>
      <c r="L50" s="117">
        <v>9159.14</v>
      </c>
      <c r="M50" s="117">
        <v>31.42</v>
      </c>
      <c r="N50" s="45">
        <v>308846</v>
      </c>
      <c r="O50" s="117">
        <f>M50*0</f>
        <v>0</v>
      </c>
      <c r="P50" s="45">
        <f t="shared" ref="P50:P51" si="8">O50*L50</f>
        <v>0</v>
      </c>
    </row>
    <row r="51" spans="2:17" ht="17.25" thickBot="1">
      <c r="B51" s="16"/>
      <c r="C51" s="60"/>
      <c r="D51" s="62" t="s">
        <v>165</v>
      </c>
      <c r="E51" s="104">
        <f>F21-F11</f>
        <v>0</v>
      </c>
      <c r="F51" s="16"/>
      <c r="G51" s="16"/>
      <c r="J51" s="71" t="s">
        <v>104</v>
      </c>
      <c r="K51" s="120" t="s">
        <v>288</v>
      </c>
      <c r="L51" s="117">
        <v>26.33</v>
      </c>
      <c r="M51" s="117">
        <v>70.31</v>
      </c>
      <c r="N51" s="45">
        <v>1812</v>
      </c>
      <c r="O51" s="117">
        <f>M51*0</f>
        <v>0</v>
      </c>
      <c r="P51" s="45">
        <f t="shared" si="8"/>
        <v>0</v>
      </c>
    </row>
    <row r="52" spans="2:17" ht="17.25" thickBot="1">
      <c r="B52" s="16"/>
      <c r="C52" s="28"/>
      <c r="D52" s="62" t="s">
        <v>164</v>
      </c>
      <c r="E52" s="104">
        <f>F22-F12</f>
        <v>0</v>
      </c>
      <c r="F52" s="16"/>
      <c r="G52" s="16"/>
      <c r="J52" s="73"/>
      <c r="K52" s="73" t="s">
        <v>91</v>
      </c>
      <c r="L52" s="83">
        <f>SUM(L50:L51)</f>
        <v>9185.4699999999993</v>
      </c>
      <c r="M52" s="73"/>
      <c r="N52" s="83">
        <f>SUM(N50:N51)</f>
        <v>310658</v>
      </c>
      <c r="O52" s="75"/>
      <c r="P52" s="161">
        <f>SUM(P50:P51)</f>
        <v>0</v>
      </c>
    </row>
    <row r="53" spans="2:17" ht="16.899999999999999" customHeight="1" thickBot="1">
      <c r="B53" s="16"/>
      <c r="C53" s="16"/>
      <c r="D53" s="62" t="s">
        <v>166</v>
      </c>
      <c r="E53" s="104">
        <f>F23-F13</f>
        <v>206300.25159999996</v>
      </c>
      <c r="F53" s="16"/>
      <c r="G53" s="16"/>
      <c r="J53" s="319" t="s">
        <v>194</v>
      </c>
      <c r="K53" s="320"/>
      <c r="L53" s="321"/>
      <c r="M53" s="323" t="s">
        <v>204</v>
      </c>
      <c r="N53" s="323"/>
      <c r="O53" s="312" t="s">
        <v>205</v>
      </c>
      <c r="P53" s="313"/>
    </row>
    <row r="54" spans="2:17" ht="15.6" customHeight="1" thickBot="1">
      <c r="B54" s="16"/>
      <c r="C54" s="16"/>
      <c r="D54" s="62" t="s">
        <v>167</v>
      </c>
      <c r="E54" s="104">
        <f>F25-F15</f>
        <v>0</v>
      </c>
      <c r="F54" s="16"/>
      <c r="G54" s="16"/>
      <c r="J54" s="76" t="s">
        <v>83</v>
      </c>
      <c r="K54" s="70" t="s">
        <v>84</v>
      </c>
      <c r="L54" s="76" t="s">
        <v>85</v>
      </c>
      <c r="M54" s="70" t="s">
        <v>86</v>
      </c>
      <c r="N54" s="70" t="s">
        <v>87</v>
      </c>
      <c r="O54" s="70" t="s">
        <v>284</v>
      </c>
      <c r="P54" s="70" t="s">
        <v>88</v>
      </c>
    </row>
    <row r="55" spans="2:17" ht="16.5" thickBot="1">
      <c r="B55" s="16"/>
      <c r="C55" s="16"/>
      <c r="D55" s="62" t="s">
        <v>168</v>
      </c>
      <c r="E55" s="104">
        <f>F26-F16</f>
        <v>-67489.116000000038</v>
      </c>
      <c r="F55" s="16"/>
      <c r="G55" s="16"/>
      <c r="J55" s="71" t="s">
        <v>105</v>
      </c>
      <c r="K55" s="70" t="s">
        <v>277</v>
      </c>
      <c r="L55" s="86">
        <f>L52</f>
        <v>9185.4699999999993</v>
      </c>
      <c r="M55" s="71">
        <v>56.28</v>
      </c>
      <c r="N55" s="45">
        <f>L55*M55</f>
        <v>516958.25159999996</v>
      </c>
      <c r="O55" s="71">
        <v>0</v>
      </c>
      <c r="P55" s="45">
        <f t="shared" ref="P55" si="9">O55*L55</f>
        <v>0</v>
      </c>
    </row>
    <row r="56" spans="2:17" ht="16.5" thickBot="1">
      <c r="B56" s="16"/>
      <c r="C56" s="16"/>
      <c r="D56" s="16"/>
      <c r="E56" s="104"/>
      <c r="F56" s="16"/>
      <c r="G56" s="16"/>
      <c r="J56" s="362" t="s">
        <v>91</v>
      </c>
      <c r="K56" s="362"/>
      <c r="L56" s="77">
        <f>L55</f>
        <v>9185.4699999999993</v>
      </c>
      <c r="M56" s="1"/>
      <c r="N56" s="77">
        <f>N55</f>
        <v>516958.25159999996</v>
      </c>
      <c r="O56" s="75"/>
      <c r="P56" s="161">
        <f>P55</f>
        <v>0</v>
      </c>
      <c r="Q56" s="64">
        <f>N52-N56</f>
        <v>-206300.25159999996</v>
      </c>
    </row>
    <row r="57" spans="2:17" ht="15.6" customHeight="1" thickBot="1">
      <c r="D57" s="99" t="s">
        <v>228</v>
      </c>
      <c r="E57" s="105">
        <f>E49+SUM(E50:E55)-V11-V23-S30</f>
        <v>3400886.5523370458</v>
      </c>
      <c r="F57" s="29">
        <f>(D9-D19+Q14+Q56+Q90)*(1+0.2)/('3_非主結構碳足跡(施工&amp;廢棄&amp;修繕)'!E30+'3_非主結構碳足跡(施工&amp;廢棄&amp;修繕)'!E27+'3_非主結構碳足跡(施工&amp;廢棄&amp;修繕)'!G36+'3_非主結構碳足跡(施工&amp;廢棄&amp;修繕)'!G40)</f>
        <v>-0.16500708988090651</v>
      </c>
      <c r="G57" s="16"/>
      <c r="J57" s="314" t="s">
        <v>206</v>
      </c>
      <c r="K57" s="315"/>
      <c r="L57" s="315"/>
      <c r="M57" s="315"/>
      <c r="N57" s="315"/>
      <c r="O57" s="315"/>
      <c r="P57" s="316"/>
    </row>
    <row r="58" spans="2:17" ht="17.25" thickBot="1">
      <c r="B58" s="330" t="s">
        <v>170</v>
      </c>
      <c r="C58" s="331"/>
      <c r="D58" s="332"/>
      <c r="E58" s="177">
        <f>E57*(1+'1_本案應揭露之碳足跡數據與碳足跡組成圖'!G10)/'4_生命週期四階段蘊含碳排'!D21</f>
        <v>0.19176860889030756</v>
      </c>
    </row>
    <row r="59" spans="2:17" ht="15.6" customHeight="1" thickBot="1">
      <c r="J59" s="326" t="s">
        <v>221</v>
      </c>
      <c r="K59" s="326"/>
    </row>
    <row r="60" spans="2:17" ht="28.15" customHeight="1" thickBot="1">
      <c r="J60" s="359" t="s">
        <v>118</v>
      </c>
      <c r="K60" s="360"/>
      <c r="L60" s="361"/>
      <c r="M60" s="312" t="s">
        <v>119</v>
      </c>
      <c r="N60" s="313"/>
      <c r="O60" s="312" t="s">
        <v>120</v>
      </c>
      <c r="P60" s="313"/>
    </row>
    <row r="61" spans="2:17" ht="16.5" thickBot="1">
      <c r="J61" s="10" t="s">
        <v>83</v>
      </c>
      <c r="K61" s="31" t="s">
        <v>84</v>
      </c>
      <c r="L61" s="31" t="s">
        <v>85</v>
      </c>
      <c r="M61" s="31" t="s">
        <v>86</v>
      </c>
      <c r="N61" s="31" t="s">
        <v>87</v>
      </c>
      <c r="O61" s="31" t="s">
        <v>284</v>
      </c>
      <c r="P61" s="31" t="s">
        <v>88</v>
      </c>
    </row>
    <row r="62" spans="2:17" ht="16.5" thickBot="1">
      <c r="J62" s="32" t="s">
        <v>121</v>
      </c>
      <c r="K62" s="31" t="s">
        <v>286</v>
      </c>
      <c r="L62" s="121">
        <v>4195.22</v>
      </c>
      <c r="M62" s="8">
        <v>36.57</v>
      </c>
      <c r="N62" s="45">
        <f>L62*M62</f>
        <v>153419.1954</v>
      </c>
      <c r="O62" s="8">
        <f>36.57*5</f>
        <v>182.85</v>
      </c>
      <c r="P62" s="45">
        <f t="shared" ref="P62" si="10">O62*L62</f>
        <v>767095.97700000007</v>
      </c>
    </row>
    <row r="63" spans="2:17" ht="16.5" thickBot="1">
      <c r="J63" s="35"/>
      <c r="K63" s="36" t="s">
        <v>91</v>
      </c>
      <c r="L63" s="42">
        <f>L62</f>
        <v>4195.22</v>
      </c>
      <c r="M63" s="36"/>
      <c r="N63" s="42">
        <f>N62</f>
        <v>153419.1954</v>
      </c>
      <c r="O63" s="37"/>
      <c r="P63" s="42">
        <f>P62</f>
        <v>767095.97700000007</v>
      </c>
    </row>
    <row r="64" spans="2:17" ht="15.6" customHeight="1" thickBot="1">
      <c r="J64" s="314" t="s">
        <v>207</v>
      </c>
      <c r="K64" s="315"/>
      <c r="L64" s="315"/>
      <c r="M64" s="315"/>
      <c r="N64" s="315"/>
      <c r="O64" s="315"/>
      <c r="P64" s="316"/>
    </row>
    <row r="65" spans="10:16" ht="15.6" customHeight="1"/>
    <row r="66" spans="10:16" ht="15.6" customHeight="1" thickBot="1">
      <c r="J66" s="318" t="s">
        <v>222</v>
      </c>
      <c r="K66" s="318"/>
    </row>
    <row r="67" spans="10:16" ht="15.6" customHeight="1" thickBot="1">
      <c r="J67" s="324" t="s">
        <v>122</v>
      </c>
      <c r="K67" s="324"/>
      <c r="L67" s="324"/>
      <c r="M67" s="323" t="s">
        <v>123</v>
      </c>
      <c r="N67" s="323"/>
      <c r="O67" s="312" t="s">
        <v>285</v>
      </c>
      <c r="P67" s="313"/>
    </row>
    <row r="68" spans="10:16" ht="16.5" thickBot="1">
      <c r="J68" s="76" t="s">
        <v>83</v>
      </c>
      <c r="K68" s="76" t="s">
        <v>84</v>
      </c>
      <c r="L68" s="76" t="s">
        <v>85</v>
      </c>
      <c r="M68" s="70" t="s">
        <v>86</v>
      </c>
      <c r="N68" s="70" t="s">
        <v>87</v>
      </c>
      <c r="O68" s="70" t="s">
        <v>284</v>
      </c>
      <c r="P68" s="70" t="s">
        <v>88</v>
      </c>
    </row>
    <row r="69" spans="10:16" ht="16.5" thickBot="1">
      <c r="J69" s="78"/>
      <c r="K69" s="117"/>
      <c r="L69" s="120"/>
      <c r="M69" s="130"/>
      <c r="N69" s="45"/>
      <c r="O69" s="117"/>
      <c r="P69" s="45"/>
    </row>
    <row r="70" spans="10:16" ht="29.25" thickBot="1">
      <c r="J70" s="78" t="s">
        <v>125</v>
      </c>
      <c r="K70" s="116" t="s">
        <v>291</v>
      </c>
      <c r="L70" s="133">
        <v>51677.37</v>
      </c>
      <c r="M70" s="117">
        <f>13.58+21.2</f>
        <v>34.78</v>
      </c>
      <c r="N70" s="45">
        <f>$L$70*M70</f>
        <v>1797338.9286000002</v>
      </c>
      <c r="O70" s="117">
        <f>13.58*0+21.2*0.5</f>
        <v>10.6</v>
      </c>
      <c r="P70" s="45">
        <f t="shared" ref="P70:P72" si="11">O70*L70</f>
        <v>547780.12199999997</v>
      </c>
    </row>
    <row r="71" spans="10:16" ht="15.6" customHeight="1" thickBot="1">
      <c r="J71" s="317" t="s">
        <v>208</v>
      </c>
      <c r="K71" s="70" t="s">
        <v>210</v>
      </c>
      <c r="L71" s="87"/>
      <c r="M71" s="71"/>
      <c r="N71" s="45">
        <f>L71*M71</f>
        <v>0</v>
      </c>
      <c r="O71" s="117"/>
      <c r="P71" s="45">
        <f t="shared" si="11"/>
        <v>0</v>
      </c>
    </row>
    <row r="72" spans="10:16" ht="15.6" customHeight="1" thickBot="1">
      <c r="J72" s="317"/>
      <c r="K72" s="70" t="s">
        <v>211</v>
      </c>
      <c r="L72" s="87"/>
      <c r="M72" s="71"/>
      <c r="N72" s="45">
        <f>$L$69*M72</f>
        <v>0</v>
      </c>
      <c r="O72" s="117"/>
      <c r="P72" s="45">
        <f t="shared" si="11"/>
        <v>0</v>
      </c>
    </row>
    <row r="73" spans="10:16" ht="15.6" customHeight="1" thickBot="1">
      <c r="J73" s="73"/>
      <c r="K73" s="73" t="s">
        <v>91</v>
      </c>
      <c r="L73" s="77">
        <f>SUM(L69:L72)</f>
        <v>51677.37</v>
      </c>
      <c r="M73" s="73"/>
      <c r="N73" s="77">
        <f>SUM(N69:N72)</f>
        <v>1797338.9286000002</v>
      </c>
      <c r="O73" s="75"/>
      <c r="P73" s="77">
        <f>SUM(P69:P72)</f>
        <v>547780.12199999997</v>
      </c>
    </row>
    <row r="74" spans="10:16" ht="15.6" customHeight="1" thickBot="1">
      <c r="J74" s="324" t="s">
        <v>126</v>
      </c>
      <c r="K74" s="324"/>
      <c r="L74" s="324"/>
      <c r="M74" s="323" t="s">
        <v>123</v>
      </c>
      <c r="N74" s="323"/>
      <c r="O74" s="312" t="s">
        <v>124</v>
      </c>
      <c r="P74" s="313"/>
    </row>
    <row r="75" spans="10:16" ht="16.5" thickBot="1">
      <c r="J75" s="76" t="s">
        <v>83</v>
      </c>
      <c r="K75" s="76" t="s">
        <v>84</v>
      </c>
      <c r="L75" s="76" t="s">
        <v>85</v>
      </c>
      <c r="M75" s="70" t="s">
        <v>86</v>
      </c>
      <c r="N75" s="70" t="s">
        <v>87</v>
      </c>
      <c r="O75" s="70" t="s">
        <v>86</v>
      </c>
      <c r="P75" s="70" t="s">
        <v>88</v>
      </c>
    </row>
    <row r="76" spans="10:16" ht="29.25" thickBot="1">
      <c r="J76" s="78" t="s">
        <v>127</v>
      </c>
      <c r="K76" s="116" t="s">
        <v>292</v>
      </c>
      <c r="L76" s="133">
        <f>L73</f>
        <v>51677.37</v>
      </c>
      <c r="M76" s="117">
        <f>13.58+21.2</f>
        <v>34.78</v>
      </c>
      <c r="N76" s="45">
        <f>$L$76*M76</f>
        <v>1797338.9286000002</v>
      </c>
      <c r="O76" s="71">
        <f>13.58*0+21.2*0.5</f>
        <v>10.6</v>
      </c>
      <c r="P76" s="45">
        <f t="shared" ref="P76" si="12">O76*L76</f>
        <v>547780.12199999997</v>
      </c>
    </row>
    <row r="77" spans="10:16" ht="16.5" thickBot="1">
      <c r="J77" s="73"/>
      <c r="K77" s="73" t="s">
        <v>91</v>
      </c>
      <c r="L77" s="88">
        <f>L76</f>
        <v>51677.37</v>
      </c>
      <c r="M77" s="78"/>
      <c r="N77" s="77">
        <f>SUM(N76:N76)</f>
        <v>1797338.9286000002</v>
      </c>
      <c r="O77" s="75"/>
      <c r="P77" s="77">
        <f>SUM(P76:P76)</f>
        <v>547780.12199999997</v>
      </c>
    </row>
    <row r="78" spans="10:16" ht="15.6" customHeight="1" thickBot="1">
      <c r="J78" s="314" t="s">
        <v>209</v>
      </c>
      <c r="K78" s="315"/>
      <c r="L78" s="315"/>
      <c r="M78" s="315"/>
      <c r="N78" s="315"/>
      <c r="O78" s="315"/>
      <c r="P78" s="316"/>
    </row>
    <row r="79" spans="10:16" ht="15.6" customHeight="1"/>
    <row r="80" spans="10:16" ht="19.5" thickBot="1">
      <c r="J80" s="80" t="s">
        <v>223</v>
      </c>
    </row>
    <row r="81" spans="10:17" ht="28.15" customHeight="1" thickBot="1">
      <c r="J81" s="322" t="s">
        <v>195</v>
      </c>
      <c r="K81" s="322"/>
      <c r="L81" s="322"/>
      <c r="M81" s="323" t="s">
        <v>352</v>
      </c>
      <c r="N81" s="323"/>
      <c r="O81" s="312" t="s">
        <v>353</v>
      </c>
      <c r="P81" s="313"/>
    </row>
    <row r="82" spans="10:17" ht="16.5" thickBot="1">
      <c r="J82" s="70" t="s">
        <v>83</v>
      </c>
      <c r="K82" s="70" t="s">
        <v>84</v>
      </c>
      <c r="L82" s="70" t="s">
        <v>85</v>
      </c>
      <c r="M82" s="70" t="s">
        <v>86</v>
      </c>
      <c r="N82" s="70" t="s">
        <v>87</v>
      </c>
      <c r="O82" s="70" t="s">
        <v>86</v>
      </c>
      <c r="P82" s="70" t="s">
        <v>88</v>
      </c>
    </row>
    <row r="83" spans="10:17" ht="29.25" thickBot="1">
      <c r="J83" s="78" t="s">
        <v>128</v>
      </c>
      <c r="K83" s="117" t="s">
        <v>293</v>
      </c>
      <c r="L83" s="122">
        <v>279.12</v>
      </c>
      <c r="M83" s="123">
        <f>66.71+36.2</f>
        <v>102.91</v>
      </c>
      <c r="N83" s="79">
        <f>$L$83*M83</f>
        <v>28724.2392</v>
      </c>
      <c r="O83" s="123">
        <f>36.2*1</f>
        <v>36.200000000000003</v>
      </c>
      <c r="P83" s="45">
        <f t="shared" ref="P83:P86" si="13">O83*L83</f>
        <v>10104.144</v>
      </c>
    </row>
    <row r="84" spans="10:17" ht="16.5" thickBot="1">
      <c r="J84" s="78" t="s">
        <v>129</v>
      </c>
      <c r="K84" s="117" t="s">
        <v>294</v>
      </c>
      <c r="L84" s="133">
        <v>1066.32</v>
      </c>
      <c r="M84" s="117">
        <f>66.71+84.55</f>
        <v>151.26</v>
      </c>
      <c r="N84" s="79">
        <f>$L$84*M84</f>
        <v>161291.56319999998</v>
      </c>
      <c r="O84" s="123">
        <f>66.71*0+84.55*1</f>
        <v>84.55</v>
      </c>
      <c r="P84" s="45">
        <f t="shared" si="13"/>
        <v>90157.355999999985</v>
      </c>
    </row>
    <row r="85" spans="10:17" ht="29.25" thickBot="1">
      <c r="J85" s="134" t="s">
        <v>130</v>
      </c>
      <c r="K85" s="117" t="s">
        <v>295</v>
      </c>
      <c r="L85" s="135">
        <v>1964.17</v>
      </c>
      <c r="M85" s="117">
        <f>66.71+48.28</f>
        <v>114.99</v>
      </c>
      <c r="N85" s="79">
        <f>$L$85*M85</f>
        <v>225859.90830000001</v>
      </c>
      <c r="O85" s="123">
        <v>48.28</v>
      </c>
      <c r="P85" s="45">
        <f t="shared" si="13"/>
        <v>94830.127600000007</v>
      </c>
    </row>
    <row r="86" spans="10:17" ht="29.25" thickBot="1">
      <c r="J86" s="78" t="s">
        <v>131</v>
      </c>
      <c r="K86" s="117" t="s">
        <v>296</v>
      </c>
      <c r="L86" s="120">
        <v>51.66</v>
      </c>
      <c r="M86" s="117">
        <f>66.71+18.1</f>
        <v>84.81</v>
      </c>
      <c r="N86" s="79">
        <f>$L$86*M86</f>
        <v>4381.2846</v>
      </c>
      <c r="O86" s="123">
        <v>18.100000000000001</v>
      </c>
      <c r="P86" s="45">
        <f t="shared" si="13"/>
        <v>935.04600000000005</v>
      </c>
    </row>
    <row r="87" spans="10:17" ht="16.5" thickBot="1">
      <c r="J87" s="71"/>
      <c r="K87" s="71" t="s">
        <v>91</v>
      </c>
      <c r="L87" s="88">
        <f>SUM(L83:L86)</f>
        <v>3361.27</v>
      </c>
      <c r="M87" s="71"/>
      <c r="N87" s="88">
        <f>SUM(N83:N86)</f>
        <v>420256.99530000001</v>
      </c>
      <c r="O87" s="89"/>
      <c r="P87" s="88">
        <f>SUM(P83:P86)</f>
        <v>196026.67360000001</v>
      </c>
    </row>
    <row r="88" spans="10:17" ht="15.6" customHeight="1" thickBot="1">
      <c r="J88" s="322" t="s">
        <v>126</v>
      </c>
      <c r="K88" s="322"/>
      <c r="L88" s="322"/>
      <c r="M88" s="323" t="s">
        <v>352</v>
      </c>
      <c r="N88" s="323"/>
      <c r="O88" s="312" t="s">
        <v>353</v>
      </c>
      <c r="P88" s="313"/>
    </row>
    <row r="89" spans="10:17" ht="16.5" thickBot="1">
      <c r="J89" s="70" t="s">
        <v>83</v>
      </c>
      <c r="K89" s="70" t="s">
        <v>84</v>
      </c>
      <c r="L89" s="70" t="s">
        <v>85</v>
      </c>
      <c r="M89" s="70" t="s">
        <v>86</v>
      </c>
      <c r="N89" s="70" t="s">
        <v>87</v>
      </c>
      <c r="O89" s="70" t="s">
        <v>86</v>
      </c>
      <c r="P89" s="70" t="s">
        <v>88</v>
      </c>
    </row>
    <row r="90" spans="10:17" ht="29.25" thickBot="1">
      <c r="J90" s="71" t="s">
        <v>132</v>
      </c>
      <c r="K90" s="116" t="s">
        <v>297</v>
      </c>
      <c r="L90" s="87">
        <f>L87</f>
        <v>3361.27</v>
      </c>
      <c r="M90" s="117">
        <f>66.71+48.28</f>
        <v>114.99</v>
      </c>
      <c r="N90" s="79">
        <f>$L$90*M90</f>
        <v>386512.43729999999</v>
      </c>
      <c r="O90" s="123">
        <f>66.71*0+48.28*1</f>
        <v>48.28</v>
      </c>
      <c r="P90" s="45">
        <f t="shared" ref="P90" si="14">O90*L90</f>
        <v>162282.11559999999</v>
      </c>
      <c r="Q90" s="41">
        <f>N87-N91</f>
        <v>33744.558000000019</v>
      </c>
    </row>
    <row r="91" spans="10:17" ht="16.5" thickBot="1">
      <c r="J91" s="71"/>
      <c r="K91" s="71" t="s">
        <v>91</v>
      </c>
      <c r="L91" s="88">
        <f>L90</f>
        <v>3361.27</v>
      </c>
      <c r="M91" s="71"/>
      <c r="N91" s="88">
        <f>SUM(N90:N90)</f>
        <v>386512.43729999999</v>
      </c>
      <c r="O91" s="89"/>
      <c r="P91" s="88">
        <f>SUM(P90:P90)</f>
        <v>162282.11559999999</v>
      </c>
    </row>
    <row r="92" spans="10:17" ht="15.6" customHeight="1" thickBot="1">
      <c r="J92" s="347" t="s">
        <v>212</v>
      </c>
      <c r="K92" s="348"/>
      <c r="L92" s="348"/>
      <c r="M92" s="348"/>
      <c r="N92" s="348"/>
      <c r="O92" s="348"/>
      <c r="P92" s="349"/>
    </row>
    <row r="93" spans="10:17" ht="15.6" customHeight="1"/>
  </sheetData>
  <mergeCells count="84">
    <mergeCell ref="R6:S6"/>
    <mergeCell ref="T6:V6"/>
    <mergeCell ref="R12:V14"/>
    <mergeCell ref="J92:P92"/>
    <mergeCell ref="R31:V34"/>
    <mergeCell ref="M74:N74"/>
    <mergeCell ref="J78:P78"/>
    <mergeCell ref="J47:K47"/>
    <mergeCell ref="J59:K59"/>
    <mergeCell ref="J60:L60"/>
    <mergeCell ref="M60:N60"/>
    <mergeCell ref="J56:K56"/>
    <mergeCell ref="O48:P48"/>
    <mergeCell ref="O53:P53"/>
    <mergeCell ref="O60:P60"/>
    <mergeCell ref="O67:P67"/>
    <mergeCell ref="B37:E37"/>
    <mergeCell ref="B36:E36"/>
    <mergeCell ref="B7:C8"/>
    <mergeCell ref="D18:G18"/>
    <mergeCell ref="B19:C19"/>
    <mergeCell ref="B20:B27"/>
    <mergeCell ref="B18:C18"/>
    <mergeCell ref="B9:C9"/>
    <mergeCell ref="B10:B17"/>
    <mergeCell ref="F32:G32"/>
    <mergeCell ref="F33:G33"/>
    <mergeCell ref="B32:C32"/>
    <mergeCell ref="B33:C33"/>
    <mergeCell ref="B29:C30"/>
    <mergeCell ref="R18:S18"/>
    <mergeCell ref="T18:V18"/>
    <mergeCell ref="R28:S28"/>
    <mergeCell ref="B48:G48"/>
    <mergeCell ref="B58:D58"/>
    <mergeCell ref="B40:E40"/>
    <mergeCell ref="B43:E43"/>
    <mergeCell ref="R24:V26"/>
    <mergeCell ref="R29:V29"/>
    <mergeCell ref="J33:P33"/>
    <mergeCell ref="J41:L41"/>
    <mergeCell ref="J40:K40"/>
    <mergeCell ref="M41:N41"/>
    <mergeCell ref="J44:K44"/>
    <mergeCell ref="J48:L48"/>
    <mergeCell ref="M48:N48"/>
    <mergeCell ref="J6:L6"/>
    <mergeCell ref="M6:N6"/>
    <mergeCell ref="J12:L12"/>
    <mergeCell ref="M12:N12"/>
    <mergeCell ref="B6:C6"/>
    <mergeCell ref="D6:G6"/>
    <mergeCell ref="J74:L74"/>
    <mergeCell ref="J16:P16"/>
    <mergeCell ref="J64:P64"/>
    <mergeCell ref="O6:P6"/>
    <mergeCell ref="O41:P41"/>
    <mergeCell ref="O36:P36"/>
    <mergeCell ref="O26:P26"/>
    <mergeCell ref="O19:P19"/>
    <mergeCell ref="O12:P12"/>
    <mergeCell ref="J26:L26"/>
    <mergeCell ref="J19:L19"/>
    <mergeCell ref="J32:K32"/>
    <mergeCell ref="M26:N26"/>
    <mergeCell ref="M19:N19"/>
    <mergeCell ref="M36:N36"/>
    <mergeCell ref="J36:L36"/>
    <mergeCell ref="J1:L1"/>
    <mergeCell ref="O88:P88"/>
    <mergeCell ref="O81:P81"/>
    <mergeCell ref="O74:P74"/>
    <mergeCell ref="J57:P57"/>
    <mergeCell ref="J45:P45"/>
    <mergeCell ref="J71:J72"/>
    <mergeCell ref="J66:K66"/>
    <mergeCell ref="J53:L53"/>
    <mergeCell ref="J88:L88"/>
    <mergeCell ref="M88:N88"/>
    <mergeCell ref="M53:N53"/>
    <mergeCell ref="J81:L81"/>
    <mergeCell ref="M81:N81"/>
    <mergeCell ref="J67:L67"/>
    <mergeCell ref="M67:N67"/>
  </mergeCells>
  <phoneticPr fontId="9"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C091D-7358-42C4-9976-A0CF6776FFB9}">
  <dimension ref="B1:R35"/>
  <sheetViews>
    <sheetView zoomScaleNormal="100" workbookViewId="0">
      <selection activeCell="L30" sqref="L30"/>
    </sheetView>
  </sheetViews>
  <sheetFormatPr defaultRowHeight="15.75"/>
  <cols>
    <col min="2" max="2" width="10" customWidth="1"/>
    <col min="3" max="3" width="22" customWidth="1"/>
    <col min="4" max="4" width="13.5703125" customWidth="1"/>
    <col min="5" max="5" width="16.7109375" customWidth="1"/>
    <col min="6" max="7" width="13.5703125" customWidth="1"/>
    <col min="8" max="8" width="16" customWidth="1"/>
    <col min="9" max="9" width="13.42578125" bestFit="1" customWidth="1"/>
    <col min="10" max="10" width="14" customWidth="1"/>
    <col min="11" max="11" width="7.28515625" customWidth="1"/>
    <col min="12" max="12" width="14.28515625" customWidth="1"/>
    <col min="13" max="13" width="10" bestFit="1" customWidth="1"/>
    <col min="15" max="15" width="22.85546875" customWidth="1"/>
    <col min="16" max="16" width="52.42578125" customWidth="1"/>
    <col min="17" max="17" width="39.5703125" customWidth="1"/>
    <col min="18" max="18" width="21.85546875" customWidth="1"/>
  </cols>
  <sheetData>
    <row r="1" spans="2:18" ht="19.5">
      <c r="B1" s="163" t="s">
        <v>339</v>
      </c>
    </row>
    <row r="2" spans="2:18" ht="19.5" thickBot="1">
      <c r="B2" s="80" t="s">
        <v>264</v>
      </c>
      <c r="C2" s="16"/>
      <c r="D2" s="16"/>
      <c r="E2" s="16"/>
      <c r="F2" s="16"/>
      <c r="G2" s="16"/>
      <c r="H2" s="16"/>
      <c r="J2" s="80" t="s">
        <v>229</v>
      </c>
    </row>
    <row r="3" spans="2:18" ht="18.75" thickBot="1">
      <c r="B3" s="374" t="s">
        <v>262</v>
      </c>
      <c r="C3" s="374" t="s">
        <v>133</v>
      </c>
      <c r="D3" s="287" t="s">
        <v>37</v>
      </c>
      <c r="E3" s="288"/>
      <c r="F3" s="287" t="s">
        <v>38</v>
      </c>
      <c r="G3" s="288"/>
      <c r="H3" s="374" t="s">
        <v>141</v>
      </c>
      <c r="J3" s="372" t="s">
        <v>231</v>
      </c>
      <c r="K3" s="372"/>
      <c r="L3" s="372"/>
      <c r="M3" s="372"/>
      <c r="N3" s="372"/>
      <c r="O3" s="202" t="s">
        <v>361</v>
      </c>
      <c r="P3" s="203" t="s">
        <v>362</v>
      </c>
      <c r="Q3" s="203" t="s">
        <v>363</v>
      </c>
      <c r="R3" s="203" t="s">
        <v>364</v>
      </c>
    </row>
    <row r="4" spans="2:18" ht="54" customHeight="1" thickBot="1">
      <c r="B4" s="375"/>
      <c r="C4" s="375"/>
      <c r="D4" s="46" t="s">
        <v>142</v>
      </c>
      <c r="E4" s="46" t="s">
        <v>134</v>
      </c>
      <c r="F4" s="46" t="s">
        <v>142</v>
      </c>
      <c r="G4" s="46" t="s">
        <v>134</v>
      </c>
      <c r="H4" s="375"/>
      <c r="J4" s="372"/>
      <c r="K4" s="372"/>
      <c r="L4" s="372"/>
      <c r="M4" s="372"/>
      <c r="N4" s="372"/>
      <c r="O4" s="363" t="s">
        <v>365</v>
      </c>
      <c r="P4" s="204" t="s">
        <v>366</v>
      </c>
      <c r="Q4" s="205">
        <v>0.2</v>
      </c>
      <c r="R4" s="205" t="s">
        <v>367</v>
      </c>
    </row>
    <row r="5" spans="2:18" ht="16.5" thickBot="1">
      <c r="B5" s="374" t="s">
        <v>116</v>
      </c>
      <c r="C5" s="30" t="s">
        <v>270</v>
      </c>
      <c r="D5" s="47">
        <f>'2_主結構碳排密度計算參數'!G23</f>
        <v>10992714.779999999</v>
      </c>
      <c r="E5" s="46"/>
      <c r="F5" s="47">
        <f>'2_主結構碳排密度計算參數'!H23</f>
        <v>10992714.779999999</v>
      </c>
      <c r="G5" s="46"/>
      <c r="H5" s="48"/>
      <c r="J5" s="99" t="s">
        <v>232</v>
      </c>
      <c r="K5">
        <f>'1_本案應揭露之碳足跡數據與碳足跡組成圖'!G10</f>
        <v>0.2</v>
      </c>
      <c r="O5" s="364"/>
      <c r="P5" s="204" t="s">
        <v>368</v>
      </c>
      <c r="Q5" s="205">
        <v>0.1</v>
      </c>
      <c r="R5" s="205" t="s">
        <v>367</v>
      </c>
    </row>
    <row r="6" spans="2:18" ht="32.25" thickBot="1">
      <c r="B6" s="376"/>
      <c r="C6" s="30" t="s">
        <v>271</v>
      </c>
      <c r="D6" s="47">
        <f>'3_非主結構碳足跡(施工&amp;廢棄&amp;修繕)'!F37</f>
        <v>504916.37759999989</v>
      </c>
      <c r="E6" s="46"/>
      <c r="F6" s="47">
        <f>'3_非主結構碳足跡(施工&amp;廢棄&amp;修繕)'!G37</f>
        <v>504916.37759999989</v>
      </c>
      <c r="G6" s="46"/>
      <c r="H6" s="48"/>
      <c r="O6" s="365" t="s">
        <v>369</v>
      </c>
      <c r="P6" s="204" t="s">
        <v>370</v>
      </c>
      <c r="Q6" s="205">
        <v>0.2</v>
      </c>
      <c r="R6" s="205" t="s">
        <v>371</v>
      </c>
    </row>
    <row r="7" spans="2:18" ht="32.25" thickBot="1">
      <c r="B7" s="376"/>
      <c r="C7" s="30" t="s">
        <v>272</v>
      </c>
      <c r="D7" s="47">
        <f>'3_非主結構碳足跡(施工&amp;廢棄&amp;修繕)'!F43</f>
        <v>1152535.1242500001</v>
      </c>
      <c r="E7" s="46"/>
      <c r="F7" s="47">
        <f>'3_非主結構碳足跡(施工&amp;廢棄&amp;修繕)'!G43</f>
        <v>1152535.1242500001</v>
      </c>
      <c r="G7" s="46"/>
      <c r="H7" s="48"/>
      <c r="O7" s="366"/>
      <c r="P7" s="204" t="s">
        <v>372</v>
      </c>
      <c r="Q7" s="205">
        <v>0.1</v>
      </c>
      <c r="R7" s="205" t="s">
        <v>367</v>
      </c>
    </row>
    <row r="8" spans="2:18" ht="16.149999999999999" customHeight="1" thickBot="1">
      <c r="B8" s="375"/>
      <c r="C8" s="30" t="s">
        <v>135</v>
      </c>
      <c r="D8" s="47">
        <f>SUM(D5:D7)</f>
        <v>12650166.281849999</v>
      </c>
      <c r="E8" s="46"/>
      <c r="F8" s="47">
        <f>SUM(F5:F7)</f>
        <v>12650166.281849999</v>
      </c>
      <c r="G8" s="46"/>
      <c r="H8" s="48"/>
      <c r="O8" s="367" t="s">
        <v>373</v>
      </c>
      <c r="P8" s="368"/>
      <c r="Q8" s="369">
        <v>0.2</v>
      </c>
      <c r="R8" s="370"/>
    </row>
    <row r="9" spans="2:18" ht="16.5" thickBot="1">
      <c r="B9" s="374" t="s">
        <v>136</v>
      </c>
      <c r="C9" s="30" t="s">
        <v>261</v>
      </c>
      <c r="D9" s="47">
        <f>'3_非主結構碳足跡(施工&amp;廢棄&amp;修繕)'!D30</f>
        <v>16583175.255897956</v>
      </c>
      <c r="E9" s="49">
        <f>D9/$D$13</f>
        <v>0.77924104025717811</v>
      </c>
      <c r="F9" s="47">
        <f>'3_非主結構碳足跡(施工&amp;廢棄&amp;修繕)'!E30</f>
        <v>19977106.366235003</v>
      </c>
      <c r="G9" s="49">
        <v>0.82099999999999995</v>
      </c>
      <c r="H9" s="47">
        <f>D9-F9</f>
        <v>-3393931.1103370469</v>
      </c>
      <c r="O9" s="369" t="s">
        <v>374</v>
      </c>
      <c r="P9" s="371"/>
      <c r="Q9" s="371"/>
      <c r="R9" s="370"/>
    </row>
    <row r="10" spans="2:18" ht="16.5" thickBot="1">
      <c r="B10" s="376"/>
      <c r="C10" s="30" t="s">
        <v>137</v>
      </c>
      <c r="D10" s="47">
        <f>'3_非主結構碳足跡(施工&amp;廢棄&amp;修繕)'!E17</f>
        <v>2358559.0925999996</v>
      </c>
      <c r="E10" s="49">
        <f>D10/$D$13</f>
        <v>0.11082835539424146</v>
      </c>
      <c r="F10" s="47">
        <f>'3_非主結構碳足跡(施工&amp;廢棄&amp;修繕)'!E27</f>
        <v>2365514.5345999999</v>
      </c>
      <c r="G10" s="49">
        <v>0.10929999999999999</v>
      </c>
      <c r="H10" s="47">
        <f>D10-F10</f>
        <v>-6955.4420000002719</v>
      </c>
    </row>
    <row r="11" spans="2:18" ht="16.5" thickBot="1">
      <c r="B11" s="376"/>
      <c r="C11" s="30" t="s">
        <v>138</v>
      </c>
      <c r="D11" s="47">
        <f>'3_非主結構碳足跡(施工&amp;廢棄&amp;修繕)'!F36</f>
        <v>833128.25107952813</v>
      </c>
      <c r="E11" s="49">
        <f>D11/$D$13</f>
        <v>3.9148577701243213E-2</v>
      </c>
      <c r="F11" s="47">
        <f>'3_非主結構碳足跡(施工&amp;廢棄&amp;修繕)'!G36</f>
        <v>833128.25107952813</v>
      </c>
      <c r="G11" s="49">
        <v>2.1000000000000001E-2</v>
      </c>
      <c r="H11" s="98"/>
    </row>
    <row r="12" spans="2:18" ht="16.5" thickBot="1">
      <c r="B12" s="376"/>
      <c r="C12" s="30" t="s">
        <v>139</v>
      </c>
      <c r="D12" s="47">
        <f>'3_非主結構碳足跡(施工&amp;廢棄&amp;修繕)'!F40</f>
        <v>1506325.6325321824</v>
      </c>
      <c r="E12" s="49">
        <f>D12/$D$13</f>
        <v>7.0782026647337057E-2</v>
      </c>
      <c r="F12" s="47">
        <f>'3_非主結構碳足跡(施工&amp;廢棄&amp;修繕)'!G40</f>
        <v>1506325.6325321824</v>
      </c>
      <c r="G12" s="49">
        <v>4.87E-2</v>
      </c>
      <c r="H12" s="98"/>
    </row>
    <row r="13" spans="2:18" ht="16.5" thickBot="1">
      <c r="B13" s="375"/>
      <c r="C13" s="30" t="s">
        <v>140</v>
      </c>
      <c r="D13" s="47">
        <f>SUM(D9:D12)</f>
        <v>21281188.23210967</v>
      </c>
      <c r="E13" s="53">
        <f>SUM(E9:E12)</f>
        <v>0.99999999999999989</v>
      </c>
      <c r="F13" s="47">
        <f>SUM(F9:F12)</f>
        <v>24682074.784446716</v>
      </c>
      <c r="G13" s="53">
        <f>SUM(G9:G12)</f>
        <v>0.99999999999999989</v>
      </c>
      <c r="H13" s="47">
        <f>D13-F13</f>
        <v>-3400886.5523370467</v>
      </c>
    </row>
    <row r="14" spans="2:18" ht="16.5" thickBot="1">
      <c r="B14" s="377" t="s">
        <v>255</v>
      </c>
      <c r="C14" s="378"/>
      <c r="D14" s="379">
        <f>D22</f>
        <v>392.13475105918695</v>
      </c>
      <c r="E14" s="380"/>
      <c r="F14" s="379">
        <f>F22</f>
        <v>454.80069748265976</v>
      </c>
      <c r="G14" s="380"/>
      <c r="H14" s="51"/>
      <c r="J14" s="373"/>
      <c r="K14" s="373"/>
      <c r="L14" s="41"/>
    </row>
    <row r="15" spans="2:18" ht="15.6" customHeight="1" thickBot="1">
      <c r="B15" s="377" t="s">
        <v>263</v>
      </c>
      <c r="C15" s="378"/>
      <c r="D15" s="108">
        <f>D8+D13</f>
        <v>33931354.513959669</v>
      </c>
      <c r="E15" s="109" t="s">
        <v>159</v>
      </c>
      <c r="F15" s="108">
        <f>F8+F13</f>
        <v>37332241.066296712</v>
      </c>
      <c r="G15" s="109" t="s">
        <v>159</v>
      </c>
      <c r="H15" s="52"/>
    </row>
    <row r="16" spans="2:18">
      <c r="J16" s="41"/>
    </row>
    <row r="17" spans="2:15" ht="16.5" thickBot="1">
      <c r="H17" s="41"/>
    </row>
    <row r="18" spans="2:15" ht="16.5" thickBot="1">
      <c r="B18" s="384" t="s">
        <v>158</v>
      </c>
      <c r="C18" s="385"/>
      <c r="D18" s="386"/>
      <c r="E18" s="387"/>
    </row>
    <row r="19" spans="2:15">
      <c r="D19" s="154" t="s">
        <v>37</v>
      </c>
      <c r="E19" s="155"/>
      <c r="F19" s="154" t="s">
        <v>38</v>
      </c>
      <c r="G19" s="156"/>
    </row>
    <row r="20" spans="2:15" ht="16.5" thickBot="1">
      <c r="C20" s="99" t="s">
        <v>230</v>
      </c>
      <c r="D20" s="126">
        <f>SUM(D5:D7,D9:D12)</f>
        <v>33931354.513959669</v>
      </c>
      <c r="E20" s="129"/>
      <c r="F20" s="126">
        <f>SUM(F5:F7,F9:F12)</f>
        <v>37332241.066296712</v>
      </c>
      <c r="G20" s="127"/>
    </row>
    <row r="21" spans="2:15" ht="16.5" thickBot="1">
      <c r="B21" t="s">
        <v>160</v>
      </c>
      <c r="D21" s="126">
        <f>D13</f>
        <v>21281188.23210967</v>
      </c>
      <c r="E21" s="129"/>
      <c r="F21" s="126">
        <f>F13</f>
        <v>24682074.784446716</v>
      </c>
      <c r="G21" s="127"/>
      <c r="N21" s="157" t="s">
        <v>311</v>
      </c>
      <c r="O21" s="158" t="s">
        <v>312</v>
      </c>
    </row>
    <row r="22" spans="2:15" ht="16.5" thickBot="1">
      <c r="B22" t="s">
        <v>161</v>
      </c>
      <c r="D22" s="139">
        <f>D13/'1_本案應揭露之碳足跡數據與碳足跡組成圖'!$D$8</f>
        <v>392.13475105918695</v>
      </c>
      <c r="E22" s="140"/>
      <c r="F22" s="139">
        <f>F13/'1_本案應揭露之碳足跡數據與碳足跡組成圖'!$D$8</f>
        <v>454.80069748265976</v>
      </c>
      <c r="G22" s="127"/>
      <c r="J22" s="146" t="s">
        <v>303</v>
      </c>
      <c r="K22" s="147">
        <f>D22</f>
        <v>392.13475105918695</v>
      </c>
      <c r="L22" s="148"/>
      <c r="N22" s="159" t="s">
        <v>313</v>
      </c>
      <c r="O22" s="160" t="s">
        <v>314</v>
      </c>
    </row>
    <row r="23" spans="2:15" ht="16.5" thickBot="1">
      <c r="B23" t="s">
        <v>162</v>
      </c>
      <c r="D23" s="141">
        <f>D22/(1+K5)</f>
        <v>326.77895921598912</v>
      </c>
      <c r="E23" s="142"/>
      <c r="F23" s="141"/>
      <c r="G23" s="128"/>
      <c r="J23" s="149" t="s">
        <v>304</v>
      </c>
      <c r="K23">
        <v>0.8</v>
      </c>
      <c r="L23" s="150">
        <f>$K$22*K23</f>
        <v>313.70780084734957</v>
      </c>
      <c r="N23" s="159" t="s">
        <v>315</v>
      </c>
      <c r="O23" s="160" t="s">
        <v>316</v>
      </c>
    </row>
    <row r="24" spans="2:15" ht="16.5" thickBot="1">
      <c r="J24" s="149"/>
      <c r="K24">
        <v>0.84</v>
      </c>
      <c r="L24" s="150">
        <f t="shared" ref="L24:L29" si="0">$K$22*K24</f>
        <v>329.393190889717</v>
      </c>
      <c r="N24" s="159" t="s">
        <v>317</v>
      </c>
      <c r="O24" s="160" t="s">
        <v>318</v>
      </c>
    </row>
    <row r="25" spans="2:15" ht="16.5" thickBot="1">
      <c r="J25" s="149"/>
      <c r="K25">
        <v>0.88</v>
      </c>
      <c r="L25" s="150">
        <f t="shared" si="0"/>
        <v>345.07858093208455</v>
      </c>
      <c r="N25" s="159" t="s">
        <v>319</v>
      </c>
      <c r="O25" s="160" t="s">
        <v>320</v>
      </c>
    </row>
    <row r="26" spans="2:15" ht="17.25" thickBot="1">
      <c r="B26" s="381" t="s">
        <v>169</v>
      </c>
      <c r="C26" s="382"/>
      <c r="D26" s="382"/>
      <c r="E26" s="382"/>
      <c r="F26" s="382"/>
      <c r="G26" s="382"/>
      <c r="H26" s="383"/>
      <c r="J26" s="149"/>
      <c r="K26">
        <v>0.92</v>
      </c>
      <c r="L26" s="150">
        <f t="shared" si="0"/>
        <v>360.76397097445204</v>
      </c>
      <c r="N26" s="159" t="s">
        <v>321</v>
      </c>
      <c r="O26" s="160" t="s">
        <v>322</v>
      </c>
    </row>
    <row r="27" spans="2:15" ht="16.5" thickBot="1">
      <c r="D27" s="61" t="s">
        <v>234</v>
      </c>
      <c r="E27" s="104">
        <f>'3_非主結構碳足跡(施工&amp;廢棄&amp;修繕)'!F9-'3_非主結構碳足跡(施工&amp;廢棄&amp;修繕)'!F19</f>
        <v>-3066475.4167370461</v>
      </c>
      <c r="F27" s="16"/>
      <c r="G27" s="16"/>
      <c r="J27" s="149"/>
      <c r="K27">
        <v>0.97</v>
      </c>
      <c r="L27" s="150">
        <f t="shared" si="0"/>
        <v>380.37070852741135</v>
      </c>
      <c r="N27" s="159" t="s">
        <v>323</v>
      </c>
      <c r="O27" s="160" t="s">
        <v>324</v>
      </c>
    </row>
    <row r="28" spans="2:15" ht="16.5" thickBot="1">
      <c r="B28" s="16"/>
      <c r="C28" s="60"/>
      <c r="D28" s="61" t="s">
        <v>163</v>
      </c>
      <c r="E28" s="104">
        <f>'3_非主結構碳足跡(施工&amp;廢棄&amp;修繕)'!F10-'3_非主結構碳足跡(施工&amp;廢棄&amp;修繕)'!F20</f>
        <v>-195600</v>
      </c>
      <c r="F28" s="43"/>
      <c r="G28" s="16"/>
      <c r="J28" s="149"/>
      <c r="K28">
        <v>1.1000000000000001</v>
      </c>
      <c r="L28" s="150">
        <f t="shared" si="0"/>
        <v>431.3482261651057</v>
      </c>
      <c r="N28" s="159" t="s">
        <v>325</v>
      </c>
      <c r="O28" s="160" t="s">
        <v>326</v>
      </c>
    </row>
    <row r="29" spans="2:15" ht="17.25" thickBot="1">
      <c r="B29" s="16"/>
      <c r="C29" s="60"/>
      <c r="D29" s="62" t="s">
        <v>165</v>
      </c>
      <c r="E29" s="104">
        <f>'3_非主結構碳足跡(施工&amp;廢棄&amp;修繕)'!F11-'3_非主結構碳足跡(施工&amp;廢棄&amp;修繕)'!F21</f>
        <v>0</v>
      </c>
      <c r="F29" s="43"/>
      <c r="G29" s="16"/>
      <c r="J29" s="151"/>
      <c r="K29" s="152">
        <v>1.2</v>
      </c>
      <c r="L29" s="153">
        <f t="shared" si="0"/>
        <v>470.56170127102433</v>
      </c>
      <c r="N29" s="159" t="s">
        <v>327</v>
      </c>
      <c r="O29" s="160" t="s">
        <v>328</v>
      </c>
    </row>
    <row r="30" spans="2:15" ht="16.5">
      <c r="B30" s="16"/>
      <c r="C30" s="28"/>
      <c r="D30" s="62" t="s">
        <v>164</v>
      </c>
      <c r="E30" s="104">
        <f>'3_非主結構碳足跡(施工&amp;廢棄&amp;修繕)'!F12-'3_非主結構碳足跡(施工&amp;廢棄&amp;修繕)'!F22</f>
        <v>0</v>
      </c>
      <c r="F30" s="43"/>
      <c r="G30" s="16"/>
    </row>
    <row r="31" spans="2:15" ht="16.5">
      <c r="B31" s="16"/>
      <c r="C31" s="16"/>
      <c r="D31" s="62" t="s">
        <v>166</v>
      </c>
      <c r="E31" s="104">
        <f>'3_非主結構碳足跡(施工&amp;廢棄&amp;修繕)'!F13-'3_非主結構碳足跡(施工&amp;廢棄&amp;修繕)'!F23</f>
        <v>-206300.25159999996</v>
      </c>
      <c r="F31" s="43"/>
      <c r="G31" s="16"/>
    </row>
    <row r="32" spans="2:15" ht="16.5">
      <c r="B32" s="16"/>
      <c r="C32" s="16"/>
      <c r="D32" s="62" t="s">
        <v>167</v>
      </c>
      <c r="E32" s="104">
        <f>'3_非主結構碳足跡(施工&amp;廢棄&amp;修繕)'!F15-'3_非主結構碳足跡(施工&amp;廢棄&amp;修繕)'!F25</f>
        <v>0</v>
      </c>
      <c r="F32" s="43"/>
      <c r="G32" s="16"/>
    </row>
    <row r="33" spans="2:7">
      <c r="B33" s="16"/>
      <c r="C33" s="16"/>
      <c r="D33" s="62" t="s">
        <v>250</v>
      </c>
      <c r="E33" s="104">
        <f>'3_非主結構碳足跡(施工&amp;廢棄&amp;修繕)'!F16-'3_非主結構碳足跡(施工&amp;廢棄&amp;修繕)'!F26</f>
        <v>67489.116000000038</v>
      </c>
      <c r="F33" s="43"/>
      <c r="G33" s="16"/>
    </row>
    <row r="34" spans="2:7" ht="16.5" thickBot="1">
      <c r="B34" s="16"/>
      <c r="D34" s="99" t="s">
        <v>249</v>
      </c>
      <c r="E34" s="105">
        <f>E27+SUM(E28:E33)</f>
        <v>-3400886.5523370458</v>
      </c>
      <c r="F34" s="43"/>
      <c r="G34" s="16"/>
    </row>
    <row r="35" spans="2:7" ht="17.25" thickBot="1">
      <c r="B35" s="330" t="s">
        <v>170</v>
      </c>
      <c r="C35" s="331"/>
      <c r="D35" s="332"/>
      <c r="E35" s="107">
        <f>E34*(1+K5)/D21</f>
        <v>-0.19176860889030756</v>
      </c>
    </row>
  </sheetData>
  <mergeCells count="21">
    <mergeCell ref="J3:N4"/>
    <mergeCell ref="J14:K14"/>
    <mergeCell ref="B35:D35"/>
    <mergeCell ref="H3:H4"/>
    <mergeCell ref="B9:B13"/>
    <mergeCell ref="B14:C14"/>
    <mergeCell ref="D14:E14"/>
    <mergeCell ref="F14:G14"/>
    <mergeCell ref="B15:C15"/>
    <mergeCell ref="B5:B8"/>
    <mergeCell ref="B3:B4"/>
    <mergeCell ref="C3:C4"/>
    <mergeCell ref="D3:E3"/>
    <mergeCell ref="F3:G3"/>
    <mergeCell ref="B26:H26"/>
    <mergeCell ref="B18:E18"/>
    <mergeCell ref="O4:O5"/>
    <mergeCell ref="O6:O7"/>
    <mergeCell ref="O8:P8"/>
    <mergeCell ref="Q8:R8"/>
    <mergeCell ref="O9:R9"/>
  </mergeCells>
  <phoneticPr fontId="9"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D6F37-79DA-4892-A7DC-9F5245D67E77}">
  <dimension ref="B1:I18"/>
  <sheetViews>
    <sheetView zoomScale="145" zoomScaleNormal="145" workbookViewId="0">
      <selection activeCell="G7" sqref="G7:H7"/>
    </sheetView>
  </sheetViews>
  <sheetFormatPr defaultColWidth="9" defaultRowHeight="15"/>
  <cols>
    <col min="1" max="1" width="9" style="16"/>
    <col min="2" max="2" width="10.140625" style="16" customWidth="1"/>
    <col min="3" max="3" width="15.7109375" style="16" bestFit="1" customWidth="1"/>
    <col min="4" max="4" width="12.28515625" style="16" customWidth="1"/>
    <col min="5" max="5" width="14.7109375" style="16" customWidth="1"/>
    <col min="6" max="6" width="14.28515625" style="16" customWidth="1"/>
    <col min="7" max="7" width="12.42578125" style="16" customWidth="1"/>
    <col min="8" max="8" width="9" style="16"/>
    <col min="9" max="9" width="27.42578125" style="16" customWidth="1"/>
    <col min="10" max="12" width="9" style="16"/>
    <col min="13" max="13" width="14.42578125" style="16" bestFit="1" customWidth="1"/>
    <col min="14" max="16" width="9" style="16"/>
    <col min="17" max="17" width="14.42578125" style="16" customWidth="1"/>
    <col min="18" max="16384" width="9" style="16"/>
  </cols>
  <sheetData>
    <row r="1" spans="2:9" ht="20.25" thickBot="1">
      <c r="B1" s="15" t="s">
        <v>265</v>
      </c>
      <c r="E1" s="163" t="s">
        <v>375</v>
      </c>
    </row>
    <row r="2" spans="2:9" ht="15.75" thickBot="1">
      <c r="B2" s="289" t="s">
        <v>143</v>
      </c>
      <c r="C2" s="290"/>
      <c r="D2" s="50" t="s">
        <v>152</v>
      </c>
      <c r="E2" s="54">
        <f>'4_生命週期四階段蘊含碳排'!D13</f>
        <v>21281188.23210967</v>
      </c>
      <c r="F2" s="377" t="s">
        <v>153</v>
      </c>
      <c r="G2" s="378"/>
      <c r="H2" s="398">
        <f>'1_本案應揭露之碳足跡數據與碳足跡組成圖'!D8</f>
        <v>54270.09</v>
      </c>
      <c r="I2" s="399"/>
    </row>
    <row r="3" spans="2:9" ht="15.75" thickBot="1">
      <c r="B3" s="294" t="s">
        <v>154</v>
      </c>
      <c r="C3" s="295"/>
      <c r="D3" s="30" t="s">
        <v>155</v>
      </c>
      <c r="E3" s="55">
        <f>'4_生命週期四階段蘊含碳排'!F13</f>
        <v>24682074.784446716</v>
      </c>
      <c r="F3" s="377" t="s">
        <v>400</v>
      </c>
      <c r="G3" s="378"/>
      <c r="H3" s="400">
        <f>E2/H2</f>
        <v>392.13475105918695</v>
      </c>
      <c r="I3" s="401"/>
    </row>
    <row r="4" spans="2:9">
      <c r="B4" s="374" t="s">
        <v>144</v>
      </c>
      <c r="C4" s="297" t="s">
        <v>145</v>
      </c>
      <c r="D4" s="396"/>
      <c r="E4" s="396"/>
      <c r="F4" s="298"/>
      <c r="G4" s="297" t="s">
        <v>215</v>
      </c>
      <c r="H4" s="298"/>
      <c r="I4" s="374" t="s">
        <v>146</v>
      </c>
    </row>
    <row r="5" spans="2:9" ht="15.6" customHeight="1" thickBot="1">
      <c r="B5" s="375"/>
      <c r="C5" s="301"/>
      <c r="D5" s="397"/>
      <c r="E5" s="397"/>
      <c r="F5" s="302"/>
      <c r="G5" s="301" t="s">
        <v>401</v>
      </c>
      <c r="H5" s="302"/>
      <c r="I5" s="375"/>
    </row>
    <row r="6" spans="2:9" ht="32.450000000000003" customHeight="1" thickBot="1">
      <c r="B6" s="58" t="s">
        <v>147</v>
      </c>
      <c r="C6" s="377" t="s">
        <v>157</v>
      </c>
      <c r="D6" s="391"/>
      <c r="E6" s="391"/>
      <c r="F6" s="378"/>
      <c r="G6" s="394">
        <f>'2_主結構碳排密度計算參數'!L24</f>
        <v>-1237259.2560418423</v>
      </c>
      <c r="H6" s="395"/>
      <c r="I6" s="106">
        <f>G6/$E$3</f>
        <v>-5.0127846497795024E-2</v>
      </c>
    </row>
    <row r="7" spans="2:9" ht="27.6" customHeight="1" thickBot="1">
      <c r="B7" s="58" t="s">
        <v>256</v>
      </c>
      <c r="C7" s="377" t="s">
        <v>258</v>
      </c>
      <c r="D7" s="391"/>
      <c r="E7" s="391"/>
      <c r="F7" s="378"/>
      <c r="G7" s="394">
        <f>'2_主結構碳排密度計算參數'!M22</f>
        <v>-826777.79052903363</v>
      </c>
      <c r="H7" s="395"/>
      <c r="I7" s="106">
        <f t="shared" ref="I7:I12" si="0">G7/$E$3</f>
        <v>-3.3497094460228416E-2</v>
      </c>
    </row>
    <row r="8" spans="2:9" ht="15.75" thickBot="1">
      <c r="B8" s="58" t="s">
        <v>257</v>
      </c>
      <c r="C8" s="377" t="s">
        <v>156</v>
      </c>
      <c r="D8" s="391"/>
      <c r="E8" s="391"/>
      <c r="F8" s="378"/>
      <c r="G8" s="394">
        <f>'2_主結構碳排密度計算參數'!M23</f>
        <v>-1002438.3701661703</v>
      </c>
      <c r="H8" s="395"/>
      <c r="I8" s="106">
        <f t="shared" si="0"/>
        <v>-4.0614023696170461E-2</v>
      </c>
    </row>
    <row r="9" spans="2:9" ht="27" customHeight="1" thickBot="1">
      <c r="B9" s="58" t="s">
        <v>148</v>
      </c>
      <c r="C9" s="377" t="s">
        <v>259</v>
      </c>
      <c r="D9" s="391"/>
      <c r="E9" s="391"/>
      <c r="F9" s="378"/>
      <c r="G9" s="392">
        <f>'3_非主結構碳足跡(施工&amp;廢棄&amp;修繕)'!F13-'3_非主結構碳足跡(施工&amp;廢棄&amp;修繕)'!F23</f>
        <v>-206300.25159999996</v>
      </c>
      <c r="H9" s="393"/>
      <c r="I9" s="106">
        <f t="shared" si="0"/>
        <v>-8.3583026711352079E-3</v>
      </c>
    </row>
    <row r="10" spans="2:9" ht="15.75" thickBot="1">
      <c r="B10" s="58" t="s">
        <v>310</v>
      </c>
      <c r="C10" s="377" t="s">
        <v>307</v>
      </c>
      <c r="D10" s="391"/>
      <c r="E10" s="391"/>
      <c r="F10" s="378"/>
      <c r="G10" s="392">
        <f>'4_生命週期四階段蘊含碳排'!E28</f>
        <v>-195600</v>
      </c>
      <c r="H10" s="393"/>
      <c r="I10" s="106">
        <f t="shared" si="0"/>
        <v>-7.9247794890912639E-3</v>
      </c>
    </row>
    <row r="11" spans="2:9" ht="15.75" thickBot="1">
      <c r="B11" s="58" t="s">
        <v>149</v>
      </c>
      <c r="C11" s="377" t="s">
        <v>309</v>
      </c>
      <c r="D11" s="391"/>
      <c r="E11" s="391"/>
      <c r="F11" s="378"/>
      <c r="G11" s="392">
        <f>'3_非主結構碳足跡(施工&amp;廢棄&amp;修繕)'!F16-'3_非主結構碳足跡(施工&amp;廢棄&amp;修繕)'!F26</f>
        <v>67489.116000000038</v>
      </c>
      <c r="H11" s="393"/>
      <c r="I11" s="106">
        <f t="shared" si="0"/>
        <v>2.7343372301313973E-3</v>
      </c>
    </row>
    <row r="12" spans="2:9" ht="27.6" customHeight="1" thickBot="1">
      <c r="B12" s="58"/>
      <c r="C12" s="367" t="s">
        <v>233</v>
      </c>
      <c r="D12" s="388"/>
      <c r="E12" s="388"/>
      <c r="F12" s="368"/>
      <c r="G12" s="389">
        <f>SUM(G6:H11)</f>
        <v>-3400886.5523370462</v>
      </c>
      <c r="H12" s="390"/>
      <c r="I12" s="106">
        <f t="shared" si="0"/>
        <v>-0.13778770958428899</v>
      </c>
    </row>
    <row r="13" spans="2:9" ht="15.75" thickBot="1">
      <c r="B13" s="58" t="s">
        <v>150</v>
      </c>
      <c r="C13" s="377" t="s">
        <v>260</v>
      </c>
      <c r="D13" s="391"/>
      <c r="E13" s="391"/>
      <c r="F13" s="378"/>
      <c r="G13" s="389">
        <f>D18</f>
        <v>-680177.31046740897</v>
      </c>
      <c r="H13" s="390"/>
      <c r="I13" s="49">
        <v>-2.9700000000000001E-2</v>
      </c>
    </row>
    <row r="14" spans="2:9" ht="15.75" thickBot="1">
      <c r="B14" s="58"/>
      <c r="C14" s="367" t="s">
        <v>151</v>
      </c>
      <c r="D14" s="388"/>
      <c r="E14" s="388"/>
      <c r="F14" s="368"/>
      <c r="G14" s="389">
        <f>G12+G13</f>
        <v>-4081063.8628044552</v>
      </c>
      <c r="H14" s="390"/>
      <c r="I14" s="49">
        <f>I12+I13</f>
        <v>-0.16748770958428899</v>
      </c>
    </row>
    <row r="16" spans="2:9">
      <c r="B16" s="16" t="s">
        <v>306</v>
      </c>
      <c r="C16" s="110">
        <f>G12</f>
        <v>-3400886.5523370462</v>
      </c>
    </row>
    <row r="17" spans="2:6">
      <c r="B17" s="16" t="s">
        <v>244</v>
      </c>
      <c r="F17" s="104">
        <f>C16*(1+'4_生命週期四階段蘊含碳排'!K5)</f>
        <v>-4081063.8628044552</v>
      </c>
    </row>
    <row r="18" spans="2:6">
      <c r="B18" s="16" t="s">
        <v>308</v>
      </c>
      <c r="D18" s="104">
        <f>F17-C16</f>
        <v>-680177.31046740897</v>
      </c>
    </row>
  </sheetData>
  <mergeCells count="29">
    <mergeCell ref="I4:I5"/>
    <mergeCell ref="C6:F6"/>
    <mergeCell ref="G6:H6"/>
    <mergeCell ref="B2:C2"/>
    <mergeCell ref="B3:C3"/>
    <mergeCell ref="F2:G2"/>
    <mergeCell ref="H2:I2"/>
    <mergeCell ref="F3:G3"/>
    <mergeCell ref="H3:I3"/>
    <mergeCell ref="C7:F7"/>
    <mergeCell ref="G7:H7"/>
    <mergeCell ref="C8:F8"/>
    <mergeCell ref="G8:H8"/>
    <mergeCell ref="B4:B5"/>
    <mergeCell ref="C4:F5"/>
    <mergeCell ref="G4:H4"/>
    <mergeCell ref="G5:H5"/>
    <mergeCell ref="C9:F9"/>
    <mergeCell ref="G9:H9"/>
    <mergeCell ref="C10:F10"/>
    <mergeCell ref="G10:H10"/>
    <mergeCell ref="C11:F11"/>
    <mergeCell ref="G11:H11"/>
    <mergeCell ref="C12:F12"/>
    <mergeCell ref="G12:H12"/>
    <mergeCell ref="C13:F13"/>
    <mergeCell ref="G13:H13"/>
    <mergeCell ref="C14:F14"/>
    <mergeCell ref="G14:H14"/>
  </mergeCells>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41184-CFAB-4DC4-BF64-390F27239EF7}">
  <dimension ref="B1:G43"/>
  <sheetViews>
    <sheetView zoomScale="85" zoomScaleNormal="85" workbookViewId="0">
      <selection activeCell="D4" sqref="D4"/>
    </sheetView>
  </sheetViews>
  <sheetFormatPr defaultRowHeight="15.75"/>
  <cols>
    <col min="2" max="2" width="21.85546875" customWidth="1"/>
    <col min="3" max="3" width="22.28515625" customWidth="1"/>
    <col min="4" max="4" width="18.5703125" customWidth="1"/>
    <col min="5" max="6" width="13" customWidth="1"/>
    <col min="7" max="7" width="19.28515625" customWidth="1"/>
  </cols>
  <sheetData>
    <row r="1" spans="2:7" ht="19.5">
      <c r="B1" s="163" t="s">
        <v>339</v>
      </c>
    </row>
    <row r="2" spans="2:7">
      <c r="B2" s="171" t="s">
        <v>329</v>
      </c>
      <c r="C2" s="172" t="s">
        <v>330</v>
      </c>
      <c r="D2" s="172" t="s">
        <v>331</v>
      </c>
      <c r="E2" s="172"/>
      <c r="F2" s="172"/>
      <c r="G2" s="173"/>
    </row>
    <row r="3" spans="2:7">
      <c r="B3" s="164" t="s">
        <v>235</v>
      </c>
      <c r="C3" s="41">
        <f>'3_非主結構碳足跡(施工&amp;廢棄&amp;修繕)'!D9</f>
        <v>12554165.993097955</v>
      </c>
      <c r="D3">
        <f>'3_非主結構碳足跡(施工&amp;廢棄&amp;修繕)'!E9</f>
        <v>0</v>
      </c>
      <c r="E3" s="165">
        <f>C3/(C3+D3)</f>
        <v>1</v>
      </c>
      <c r="F3" s="165">
        <f>D3/(C3+D3)</f>
        <v>0</v>
      </c>
      <c r="G3" s="166"/>
    </row>
    <row r="4" spans="2:7">
      <c r="B4" s="164" t="s">
        <v>236</v>
      </c>
      <c r="C4">
        <f>'3_非主結構碳足跡(施工&amp;廢棄&amp;修繕)'!D10</f>
        <v>1112683.8999999999</v>
      </c>
      <c r="D4" s="41">
        <f>'3_非主結構碳足跡(施工&amp;廢棄&amp;修繕)'!E10</f>
        <v>847656.32</v>
      </c>
      <c r="E4" s="165">
        <f t="shared" ref="E4:E10" si="0">C4/(C4+D4)</f>
        <v>0.5675973428734733</v>
      </c>
      <c r="F4" s="165">
        <f t="shared" ref="F4:F10" si="1">D4/(C4+D4)</f>
        <v>0.43240265712652676</v>
      </c>
      <c r="G4" s="166"/>
    </row>
    <row r="5" spans="2:7">
      <c r="B5" s="164" t="s">
        <v>237</v>
      </c>
      <c r="C5">
        <f>'3_非主結構碳足跡(施工&amp;廢棄&amp;修繕)'!D11</f>
        <v>234652.24350000001</v>
      </c>
      <c r="D5">
        <f>'3_非主結構碳足跡(施工&amp;廢棄&amp;修繕)'!E11</f>
        <v>0</v>
      </c>
      <c r="E5" s="165">
        <f t="shared" si="0"/>
        <v>1</v>
      </c>
      <c r="F5" s="165">
        <f t="shared" si="1"/>
        <v>0</v>
      </c>
      <c r="G5" s="166"/>
    </row>
    <row r="6" spans="2:7">
      <c r="B6" s="164" t="s">
        <v>238</v>
      </c>
      <c r="C6">
        <f>'3_非主結構碳足跡(施工&amp;廢棄&amp;修繕)'!D12</f>
        <v>0</v>
      </c>
      <c r="D6">
        <f>'3_非主結構碳足跡(施工&amp;廢棄&amp;修繕)'!E12</f>
        <v>0</v>
      </c>
      <c r="E6" s="165">
        <f>IF(C6="0",0,IF(C6&gt;0,C6/(C6+D6))*FALSE)</f>
        <v>0</v>
      </c>
      <c r="F6" s="165">
        <f>IF(D6="0",0,IF(C6&gt;0,C6/(C6+D6))*FALSE)</f>
        <v>0</v>
      </c>
      <c r="G6" s="166"/>
    </row>
    <row r="7" spans="2:7">
      <c r="B7" s="164" t="s">
        <v>240</v>
      </c>
      <c r="C7">
        <f>'3_非主結構碳足跡(施工&amp;廢棄&amp;修繕)'!D13</f>
        <v>310658</v>
      </c>
      <c r="D7">
        <f>'3_非主結構碳足跡(施工&amp;廢棄&amp;修繕)'!E13</f>
        <v>0</v>
      </c>
      <c r="E7" s="165">
        <f t="shared" si="0"/>
        <v>1</v>
      </c>
      <c r="F7" s="165">
        <f t="shared" si="1"/>
        <v>0</v>
      </c>
      <c r="G7" s="166"/>
    </row>
    <row r="8" spans="2:7">
      <c r="B8" s="164" t="s">
        <v>239</v>
      </c>
      <c r="C8">
        <f>'3_非主結構碳足跡(施工&amp;廢棄&amp;修繕)'!D14</f>
        <v>153419.1954</v>
      </c>
      <c r="D8" s="64">
        <f>'3_非主結構碳足跡(施工&amp;廢棄&amp;修繕)'!E14</f>
        <v>767095.97700000007</v>
      </c>
      <c r="E8" s="165">
        <f t="shared" si="0"/>
        <v>0.16666666666666666</v>
      </c>
      <c r="F8" s="165">
        <f t="shared" si="1"/>
        <v>0.83333333333333337</v>
      </c>
      <c r="G8" s="166"/>
    </row>
    <row r="9" spans="2:7">
      <c r="B9" s="164" t="s">
        <v>241</v>
      </c>
      <c r="C9">
        <f>'3_非主結構碳足跡(施工&amp;廢棄&amp;修繕)'!D15</f>
        <v>1797338.9286000002</v>
      </c>
      <c r="D9" s="64">
        <f>'3_非主結構碳足跡(施工&amp;廢棄&amp;修繕)'!E15</f>
        <v>547780.12199999997</v>
      </c>
      <c r="E9" s="165">
        <f t="shared" si="0"/>
        <v>0.76641692375495818</v>
      </c>
      <c r="F9" s="165">
        <f t="shared" si="1"/>
        <v>0.23358307624504185</v>
      </c>
      <c r="G9" s="166"/>
    </row>
    <row r="10" spans="2:7">
      <c r="B10" s="164" t="s">
        <v>242</v>
      </c>
      <c r="C10">
        <f>'3_非主結構碳足跡(施工&amp;廢棄&amp;修繕)'!D16</f>
        <v>420256.99530000001</v>
      </c>
      <c r="D10" s="64">
        <f>'3_非主結構碳足跡(施工&amp;廢棄&amp;修繕)'!E16</f>
        <v>196026.67360000001</v>
      </c>
      <c r="E10" s="165">
        <f t="shared" si="0"/>
        <v>0.68192135619967587</v>
      </c>
      <c r="F10" s="165">
        <f t="shared" si="1"/>
        <v>0.31807864380032413</v>
      </c>
      <c r="G10" s="166"/>
    </row>
    <row r="11" spans="2:7">
      <c r="B11" s="164"/>
      <c r="G11" s="166"/>
    </row>
    <row r="12" spans="2:7">
      <c r="B12" s="174" t="s">
        <v>329</v>
      </c>
      <c r="C12" s="175" t="s">
        <v>334</v>
      </c>
      <c r="D12" s="175" t="s">
        <v>335</v>
      </c>
      <c r="E12" s="175" t="s">
        <v>336</v>
      </c>
      <c r="F12" s="175" t="s">
        <v>337</v>
      </c>
      <c r="G12" s="176" t="s">
        <v>338</v>
      </c>
    </row>
    <row r="13" spans="2:7">
      <c r="B13" s="164" t="s">
        <v>235</v>
      </c>
      <c r="C13" s="41">
        <f>C3</f>
        <v>12554165.993097955</v>
      </c>
      <c r="D13" s="41">
        <f>D3</f>
        <v>0</v>
      </c>
      <c r="E13" s="41">
        <f>'3_非主結構碳足跡(施工&amp;廢棄&amp;修繕)'!D19</f>
        <v>15620641.409835001</v>
      </c>
      <c r="F13" s="41">
        <f>'3_非主結構碳足跡(施工&amp;廢棄&amp;修繕)'!E19</f>
        <v>0</v>
      </c>
      <c r="G13" s="167">
        <f>C13+D13</f>
        <v>12554165.993097955</v>
      </c>
    </row>
    <row r="14" spans="2:7">
      <c r="B14" s="164" t="s">
        <v>236</v>
      </c>
      <c r="C14" s="41">
        <f t="shared" ref="C14:D20" si="2">C4</f>
        <v>1112683.8999999999</v>
      </c>
      <c r="D14" s="41">
        <f t="shared" si="2"/>
        <v>847656.32</v>
      </c>
      <c r="E14" s="41">
        <f>'3_非主結構碳足跡(施工&amp;廢棄&amp;修繕)'!D20</f>
        <v>1267583.8999999999</v>
      </c>
      <c r="F14" s="41">
        <f>'3_非主結構碳足跡(施工&amp;廢棄&amp;修繕)'!E20</f>
        <v>888356.32</v>
      </c>
      <c r="G14" s="167">
        <f t="shared" ref="G14:G20" si="3">C14+D14</f>
        <v>1960340.2199999997</v>
      </c>
    </row>
    <row r="15" spans="2:7">
      <c r="B15" s="164" t="s">
        <v>237</v>
      </c>
      <c r="C15" s="41">
        <f t="shared" si="2"/>
        <v>234652.24350000001</v>
      </c>
      <c r="D15" s="41">
        <f t="shared" si="2"/>
        <v>0</v>
      </c>
      <c r="E15" s="41">
        <f>'3_非主結構碳足跡(施工&amp;廢棄&amp;修繕)'!D21</f>
        <v>234652.24350000001</v>
      </c>
      <c r="F15" s="41">
        <f>'3_非主結構碳足跡(施工&amp;廢棄&amp;修繕)'!E21</f>
        <v>0</v>
      </c>
      <c r="G15" s="167">
        <f t="shared" si="3"/>
        <v>234652.24350000001</v>
      </c>
    </row>
    <row r="16" spans="2:7">
      <c r="B16" s="164" t="s">
        <v>238</v>
      </c>
      <c r="C16" s="41">
        <f t="shared" si="2"/>
        <v>0</v>
      </c>
      <c r="D16" s="41">
        <f t="shared" si="2"/>
        <v>0</v>
      </c>
      <c r="E16" s="41">
        <f>'3_非主結構碳足跡(施工&amp;廢棄&amp;修繕)'!D22</f>
        <v>0</v>
      </c>
      <c r="F16" s="41">
        <f>'3_非主結構碳足跡(施工&amp;廢棄&amp;修繕)'!E22</f>
        <v>0</v>
      </c>
      <c r="G16" s="167">
        <f t="shared" si="3"/>
        <v>0</v>
      </c>
    </row>
    <row r="17" spans="2:7">
      <c r="B17" s="164" t="s">
        <v>240</v>
      </c>
      <c r="C17" s="41">
        <f t="shared" si="2"/>
        <v>310658</v>
      </c>
      <c r="D17" s="41">
        <f t="shared" si="2"/>
        <v>0</v>
      </c>
      <c r="E17" s="41">
        <f>'3_非主結構碳足跡(施工&amp;廢棄&amp;修繕)'!D23</f>
        <v>516958.25159999996</v>
      </c>
      <c r="F17" s="41">
        <f>'3_非主結構碳足跡(施工&amp;廢棄&amp;修繕)'!E23</f>
        <v>0</v>
      </c>
      <c r="G17" s="167">
        <f t="shared" si="3"/>
        <v>310658</v>
      </c>
    </row>
    <row r="18" spans="2:7">
      <c r="B18" s="164" t="s">
        <v>239</v>
      </c>
      <c r="C18" s="41">
        <f t="shared" si="2"/>
        <v>153419.1954</v>
      </c>
      <c r="D18" s="41">
        <f t="shared" si="2"/>
        <v>767095.97700000007</v>
      </c>
      <c r="E18" s="41">
        <f>'3_非主結構碳足跡(施工&amp;廢棄&amp;修繕)'!D24</f>
        <v>153419.1954</v>
      </c>
      <c r="F18" s="41">
        <f>'3_非主結構碳足跡(施工&amp;廢棄&amp;修繕)'!E24</f>
        <v>767095.97700000007</v>
      </c>
      <c r="G18" s="167">
        <f t="shared" si="3"/>
        <v>920515.17240000004</v>
      </c>
    </row>
    <row r="19" spans="2:7">
      <c r="B19" s="164" t="s">
        <v>241</v>
      </c>
      <c r="C19" s="41">
        <f t="shared" si="2"/>
        <v>1797338.9286000002</v>
      </c>
      <c r="D19" s="41">
        <f t="shared" si="2"/>
        <v>547780.12199999997</v>
      </c>
      <c r="E19" s="41">
        <f>'3_非主結構碳足跡(施工&amp;廢棄&amp;修繕)'!D25</f>
        <v>1797338.9286000002</v>
      </c>
      <c r="F19" s="41">
        <f>'3_非主結構碳足跡(施工&amp;廢棄&amp;修繕)'!E25</f>
        <v>547780.12199999997</v>
      </c>
      <c r="G19" s="167">
        <f t="shared" si="3"/>
        <v>2345119.0506000002</v>
      </c>
    </row>
    <row r="20" spans="2:7">
      <c r="B20" s="168" t="s">
        <v>242</v>
      </c>
      <c r="C20" s="169">
        <f t="shared" si="2"/>
        <v>420256.99530000001</v>
      </c>
      <c r="D20" s="169">
        <f t="shared" si="2"/>
        <v>196026.67360000001</v>
      </c>
      <c r="E20" s="169">
        <f>'3_非主結構碳足跡(施工&amp;廢棄&amp;修繕)'!D26</f>
        <v>386512.43729999999</v>
      </c>
      <c r="F20" s="169">
        <f>'3_非主結構碳足跡(施工&amp;廢棄&amp;修繕)'!E26</f>
        <v>162282.11559999999</v>
      </c>
      <c r="G20" s="170">
        <f t="shared" si="3"/>
        <v>616283.66890000005</v>
      </c>
    </row>
    <row r="26" spans="2:7">
      <c r="B26" s="162" t="s">
        <v>333</v>
      </c>
    </row>
    <row r="43" spans="2:2">
      <c r="B43" s="162" t="s">
        <v>332</v>
      </c>
    </row>
  </sheetData>
  <phoneticPr fontId="9" type="noConversion"/>
  <pageMargins left="0.7" right="0.7"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具名範圍</vt:lpstr>
      </vt:variant>
      <vt:variant>
        <vt:i4>1</vt:i4>
      </vt:variant>
    </vt:vector>
  </HeadingPairs>
  <TitlesOfParts>
    <vt:vector size="8" baseType="lpstr">
      <vt:lpstr>工作表1</vt:lpstr>
      <vt:lpstr>1_本案應揭露之碳足跡數據與碳足跡組成圖</vt:lpstr>
      <vt:lpstr>2_主結構碳排密度計算參數</vt:lpstr>
      <vt:lpstr>3_非主結構碳足跡(施工&amp;廢棄&amp;修繕)</vt:lpstr>
      <vt:lpstr>4_生命週期四階段蘊含碳排</vt:lpstr>
      <vt:lpstr>5_各項減碳設計ΔCF貢獻度分析</vt:lpstr>
      <vt:lpstr>報告書圖表</vt:lpstr>
      <vt:lpstr>'3_非主結構碳足跡(施工&amp;廢棄&amp;修繕)'!_Hlk107062451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Heidi</cp:lastModifiedBy>
  <dcterms:created xsi:type="dcterms:W3CDTF">2015-06-05T18:19:34Z</dcterms:created>
  <dcterms:modified xsi:type="dcterms:W3CDTF">2023-05-02T08:26:55Z</dcterms:modified>
</cp:coreProperties>
</file>